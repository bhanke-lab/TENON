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aillielumber-my.sharepoint.com/personal/bhanke_baillie_com/Documents/Projects/comact-runsetup-translator/tests/fixtures/wok_2026-06-23/"/>
    </mc:Choice>
  </mc:AlternateContent>
  <xr:revisionPtr revIDLastSave="0" documentId="8_{DDA7CDA8-83D5-49CD-A77C-2F51F91E54BF}" xr6:coauthVersionLast="47" xr6:coauthVersionMax="47" xr10:uidLastSave="{00000000-0000-0000-0000-000000000000}"/>
  <bookViews>
    <workbookView xWindow="20895" yWindow="-15600" windowWidth="26685" windowHeight="15555" xr2:uid="{E094D080-3319-4F65-806B-502944EB452C}"/>
  </bookViews>
  <sheets>
    <sheet name="Sheet1" sheetId="1" r:id="rId1"/>
    <sheet name="Data Validation" sheetId="2" r:id="rId2"/>
  </sheets>
  <definedNames>
    <definedName name="_xlnm.Print_Area" localSheetId="0">Sheet1!$A$1:$M$61</definedName>
    <definedName name="_xlnm.Print_Titles" localSheetId="0">Sheet1!$1:$10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1" l="1" a="1"/>
  <c r="A31" i="1" a="1"/>
  <c r="B36" i="1"/>
  <c r="B32" i="1" l="1"/>
  <c r="B34" i="1"/>
  <c r="B35" i="1"/>
  <c r="B31" i="1"/>
  <c r="B3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<sst xmlns="http://schemas.openxmlformats.org/spreadsheetml/2006/main" count="312" uniqueCount="186">
  <si>
    <t>Species</t>
  </si>
  <si>
    <t>Lumber</t>
  </si>
  <si>
    <t>Thickness</t>
  </si>
  <si>
    <t>Grade</t>
  </si>
  <si>
    <t>Color</t>
  </si>
  <si>
    <t>Price</t>
  </si>
  <si>
    <t>Special Instruction/Comments</t>
  </si>
  <si>
    <t>Targets</t>
  </si>
  <si>
    <t>Cants</t>
  </si>
  <si>
    <t>Ties</t>
  </si>
  <si>
    <t>4/4</t>
  </si>
  <si>
    <t>5/4</t>
  </si>
  <si>
    <t>6/4</t>
  </si>
  <si>
    <t>7/4</t>
  </si>
  <si>
    <t>8/4</t>
  </si>
  <si>
    <t>9/4</t>
  </si>
  <si>
    <t>10/4</t>
  </si>
  <si>
    <t>12/4</t>
  </si>
  <si>
    <t>16/4</t>
  </si>
  <si>
    <t>Pallet</t>
  </si>
  <si>
    <t>Sort Descriptions</t>
  </si>
  <si>
    <t>Prime</t>
  </si>
  <si>
    <t>Select</t>
  </si>
  <si>
    <t>Specs</t>
  </si>
  <si>
    <t>1 Common</t>
  </si>
  <si>
    <t>2 Common</t>
  </si>
  <si>
    <t>2-3 Common</t>
  </si>
  <si>
    <t>3 Common</t>
  </si>
  <si>
    <t>2-BTR</t>
  </si>
  <si>
    <t>1-BTR</t>
  </si>
  <si>
    <t>1-2 Common</t>
  </si>
  <si>
    <t>1 Comm</t>
  </si>
  <si>
    <t>Group Grade Code</t>
  </si>
  <si>
    <t>Sticks</t>
  </si>
  <si>
    <t>N/A</t>
  </si>
  <si>
    <t>23C</t>
  </si>
  <si>
    <t>12C</t>
  </si>
  <si>
    <t>GSG</t>
  </si>
  <si>
    <t>3B</t>
  </si>
  <si>
    <t>1B</t>
  </si>
  <si>
    <t>PR</t>
  </si>
  <si>
    <t>SEL</t>
  </si>
  <si>
    <t>1C</t>
  </si>
  <si>
    <t>2C</t>
  </si>
  <si>
    <t>3C</t>
  </si>
  <si>
    <t>SG</t>
  </si>
  <si>
    <t>DG</t>
  </si>
  <si>
    <t>DetailGrades</t>
  </si>
  <si>
    <t>Colors</t>
  </si>
  <si>
    <t>SAP</t>
  </si>
  <si>
    <t>UNSEL</t>
  </si>
  <si>
    <t>SAP+BTR</t>
  </si>
  <si>
    <t>STAIN</t>
  </si>
  <si>
    <t>BROWN</t>
  </si>
  <si>
    <t>#1&amp;2 WHITE</t>
  </si>
  <si>
    <t>#1 WHITE</t>
  </si>
  <si>
    <t>#2 WHITE</t>
  </si>
  <si>
    <t>Code</t>
  </si>
  <si>
    <t>B</t>
  </si>
  <si>
    <t>12W</t>
  </si>
  <si>
    <t>N</t>
  </si>
  <si>
    <t>W1F</t>
  </si>
  <si>
    <t>W2F</t>
  </si>
  <si>
    <t>5"x7'</t>
  </si>
  <si>
    <t>4"x6'</t>
  </si>
  <si>
    <t>3"x6'</t>
  </si>
  <si>
    <t>Widths</t>
  </si>
  <si>
    <t>3"</t>
  </si>
  <si>
    <t>4"</t>
  </si>
  <si>
    <t>5"</t>
  </si>
  <si>
    <t>6"</t>
  </si>
  <si>
    <t>7"</t>
  </si>
  <si>
    <t>8"</t>
  </si>
  <si>
    <t>9"</t>
  </si>
  <si>
    <t>10"</t>
  </si>
  <si>
    <t>11"</t>
  </si>
  <si>
    <t>12"</t>
  </si>
  <si>
    <t>Min. Length</t>
  </si>
  <si>
    <t>Min. Width</t>
  </si>
  <si>
    <t>Max Length</t>
  </si>
  <si>
    <t>Lengths</t>
  </si>
  <si>
    <t>6'</t>
  </si>
  <si>
    <t>7'</t>
  </si>
  <si>
    <t>8'</t>
  </si>
  <si>
    <t>9'</t>
  </si>
  <si>
    <t>10'</t>
  </si>
  <si>
    <t>11'</t>
  </si>
  <si>
    <t>12'</t>
  </si>
  <si>
    <t>13'</t>
  </si>
  <si>
    <t>14'</t>
  </si>
  <si>
    <t>15'</t>
  </si>
  <si>
    <t>16'</t>
  </si>
  <si>
    <t>Sub Grade</t>
  </si>
  <si>
    <t>Sorts</t>
  </si>
  <si>
    <t>Sort</t>
  </si>
  <si>
    <t>CantSorts</t>
  </si>
  <si>
    <t>3.5" x 6"</t>
  </si>
  <si>
    <t>3.5" x Random</t>
  </si>
  <si>
    <t>4" x Random</t>
  </si>
  <si>
    <t>4" x 6"</t>
  </si>
  <si>
    <t>4.5" x Random</t>
  </si>
  <si>
    <t>5" x Random</t>
  </si>
  <si>
    <t>5.5" x Random</t>
  </si>
  <si>
    <t>5.5" x 6"</t>
  </si>
  <si>
    <t>6" x Random</t>
  </si>
  <si>
    <t>6" x 6"</t>
  </si>
  <si>
    <t>7.5" x Random</t>
  </si>
  <si>
    <t>Priority</t>
  </si>
  <si>
    <t>8.5'</t>
  </si>
  <si>
    <t>TieSorts</t>
  </si>
  <si>
    <t>7"x9'</t>
  </si>
  <si>
    <t>7"x8'</t>
  </si>
  <si>
    <t>6"x8'</t>
  </si>
  <si>
    <t>No Ties</t>
  </si>
  <si>
    <t>Log Volume:</t>
  </si>
  <si>
    <t>Date:</t>
  </si>
  <si>
    <t>Species:</t>
  </si>
  <si>
    <t>Thickness Targets</t>
  </si>
  <si>
    <t>Grade Targets</t>
  </si>
  <si>
    <t>Ash</t>
  </si>
  <si>
    <t>Basswood</t>
  </si>
  <si>
    <t>Beech</t>
  </si>
  <si>
    <t>Birch</t>
  </si>
  <si>
    <t>Butternut</t>
  </si>
  <si>
    <t>Cherry</t>
  </si>
  <si>
    <t>Hard Maple</t>
  </si>
  <si>
    <t>Hickory</t>
  </si>
  <si>
    <t>Poplar</t>
  </si>
  <si>
    <t>Red Oak</t>
  </si>
  <si>
    <t>Soft Maple</t>
  </si>
  <si>
    <t>Walnut</t>
  </si>
  <si>
    <t>White Oak</t>
  </si>
  <si>
    <t>Highest</t>
  </si>
  <si>
    <t>High</t>
  </si>
  <si>
    <t>Medium</t>
  </si>
  <si>
    <t>Low</t>
  </si>
  <si>
    <t>Lowest</t>
  </si>
  <si>
    <t>PRIME</t>
  </si>
  <si>
    <t>1COM</t>
  </si>
  <si>
    <t>2COM</t>
  </si>
  <si>
    <t>Destination</t>
  </si>
  <si>
    <t>Additional Notes</t>
  </si>
  <si>
    <t>90/50</t>
  </si>
  <si>
    <t>RED</t>
  </si>
  <si>
    <t>R</t>
  </si>
  <si>
    <t>95</t>
  </si>
  <si>
    <t>Description</t>
  </si>
  <si>
    <t>Unselected - No color specifications</t>
  </si>
  <si>
    <t>Number 1 White: The clear cuttings must have sapwood on both faces and edges.</t>
  </si>
  <si>
    <t>Number 2 White: The clear cuttings must have sapwood on one face and both edges, and at least 50% sapwood on the reverse face.</t>
  </si>
  <si>
    <t>Number 1 and 2 White: A selection for sapwood, most often applied to hard maple but also to species like ash, birch, and soft maple.
Number 1 White: The clear cuttings must have sapwood on both faces and edges.
Number 2 White: The clear cuttings must have sapwood on one face and both edges, and at least 50% sapwood on the reverse face.</t>
  </si>
  <si>
    <t>Sap and Better: This is a less stringent color sort where the clear cuttings must have at least one sapwood face.</t>
  </si>
  <si>
    <t>Brown Maple: A specific color classification for maple, defined by the NHLA as a board with heartwood on both faces. The amount of heartwood is not restricted in this grade. (Note: We Apply these specs to Ash as well.)</t>
  </si>
  <si>
    <t xml:space="preserve">Sap stain: Discoloration that affects the value of the lumber. It can be reduced through proper handling and processing techniques.
Fungal stain: A discoloration caused by fungal growth. It is a defect that lowers the grade of the lumber. </t>
  </si>
  <si>
    <t>"NHLA 90/50" refers to a hardwood grading standard that specifies a minimum of 90% heartwood on one face and 50% heartwood on the other. This is a color-sorting specification, most commonly used for cherry wood, to ensure a consistent, rich reddish-brown color with minimal sapwood</t>
  </si>
  <si>
    <t xml:space="preserve"> "NHLA red 100% red cherry" specifies the highest possible grade of wood in terms of color purity. This means the board consists entirely of the deep reddish-brown heartwood, with no white sapwood. </t>
  </si>
  <si>
    <t>Color Descriptions</t>
  </si>
  <si>
    <t>Color Code</t>
  </si>
  <si>
    <t>Color Description</t>
  </si>
  <si>
    <t>Limit</t>
  </si>
  <si>
    <t>5.25"</t>
  </si>
  <si>
    <t>CHR</t>
  </si>
  <si>
    <t>3.5"</t>
  </si>
  <si>
    <t>4.5"</t>
  </si>
  <si>
    <t>5.5"</t>
  </si>
  <si>
    <t>6.5"</t>
  </si>
  <si>
    <t>7.5"</t>
  </si>
  <si>
    <t>8.5"</t>
  </si>
  <si>
    <t>9.5"</t>
  </si>
  <si>
    <t>10.5"</t>
  </si>
  <si>
    <t>Rather not make any of these</t>
  </si>
  <si>
    <t>Password:</t>
  </si>
  <si>
    <t>Wilson</t>
  </si>
  <si>
    <t>YES</t>
  </si>
  <si>
    <t>Cayuta</t>
  </si>
  <si>
    <t>all 3B--all sound pallet--sap stain 1&amp;2c here</t>
  </si>
  <si>
    <t>Rockland</t>
  </si>
  <si>
    <t>NO</t>
  </si>
  <si>
    <t>see additional notes on the 4/4</t>
  </si>
  <si>
    <t>Smyrna</t>
  </si>
  <si>
    <t xml:space="preserve">can be aggressive on the 6/4 &amp; 8/4--- ok to make 6/4 &amp; 8/4 1&amp;2com </t>
  </si>
  <si>
    <t xml:space="preserve">Rather have 4/4  9''&amp; Char &amp; 4/4  9''&amp;wider center cut than ties-----4/4 Char under 6'' that doesn’t make 2com put in SG load </t>
  </si>
  <si>
    <t>see additional notes on sap spec</t>
  </si>
  <si>
    <t xml:space="preserve">6/4 Sap Spec-- converging sap ok just don’t want more than 60% of face to be sap </t>
  </si>
  <si>
    <t xml:space="preserve">8/4 Sap Spec --no more than 3/4'' of sap down each edge  </t>
  </si>
  <si>
    <t xml:space="preserve">6''x8''  sap free will allow a handful of whoops 1com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</si>
</sst>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39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/>
      <top style="mediumDashed">
        <color auto="1"/>
      </top>
      <bottom style="thick">
        <color auto="1"/>
      </bottom>
      <diagonal/>
    </border>
    <border>
      <left/>
      <right/>
      <top style="mediumDashed">
        <color auto="1"/>
      </top>
      <bottom style="thick">
        <color auto="1"/>
      </bottom>
      <diagonal/>
    </border>
    <border>
      <left/>
      <right style="thick">
        <color auto="1"/>
      </right>
      <top style="mediumDashed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8">
    <xf numFmtId="0" fontId="0" fillId="0" borderId="0" xfId="0"/>
    <xf numFmtId="0" fontId="0" fillId="0" borderId="0" xfId="0" quotePrefix="1"/>
    <xf numFmtId="0" fontId="0" fillId="0" borderId="0" xfId="0" applyAlignment="1">
      <alignment wrapText="1"/>
    </xf>
    <xf numFmtId="0" fontId="2" fillId="0" borderId="0" xfId="0" applyFont="1"/>
    <xf numFmtId="0" fontId="3" fillId="2" borderId="9" xfId="0" applyFont="1" applyFill="1" applyBorder="1" applyAlignment="1">
      <alignment horizontal="right" vertical="center"/>
    </xf>
    <xf numFmtId="0" fontId="3" fillId="0" borderId="0" xfId="0" applyFont="1"/>
    <xf numFmtId="164" fontId="3" fillId="0" borderId="0" xfId="1" applyNumberFormat="1" applyFont="1"/>
    <xf numFmtId="0" fontId="3" fillId="0" borderId="2" xfId="0" applyFont="1" applyBorder="1" applyAlignment="1">
      <alignment horizontal="center" vertical="center"/>
    </xf>
    <xf numFmtId="0" fontId="3" fillId="0" borderId="2" xfId="0" applyFont="1" applyBorder="1"/>
    <xf numFmtId="0" fontId="3" fillId="0" borderId="27" xfId="0" applyFont="1" applyBorder="1"/>
    <xf numFmtId="0" fontId="3" fillId="0" borderId="0" xfId="0" applyFont="1" applyAlignment="1">
      <alignment horizontal="center" vertical="center"/>
    </xf>
    <xf numFmtId="9" fontId="3" fillId="0" borderId="0" xfId="2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164" fontId="3" fillId="0" borderId="0" xfId="1" applyNumberFormat="1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9" fontId="3" fillId="0" borderId="2" xfId="2" applyFont="1" applyBorder="1" applyAlignment="1" applyProtection="1">
      <alignment horizontal="center" vertical="center"/>
      <protection locked="0"/>
    </xf>
    <xf numFmtId="9" fontId="3" fillId="0" borderId="2" xfId="2" applyFont="1" applyBorder="1" applyProtection="1">
      <protection locked="0"/>
    </xf>
    <xf numFmtId="0" fontId="3" fillId="0" borderId="26" xfId="0" applyFont="1" applyBorder="1" applyProtection="1">
      <protection locked="0"/>
    </xf>
    <xf numFmtId="0" fontId="3" fillId="0" borderId="24" xfId="0" applyFont="1" applyBorder="1" applyAlignment="1" applyProtection="1">
      <alignment horizontal="center" vertical="center"/>
      <protection locked="0"/>
    </xf>
    <xf numFmtId="0" fontId="3" fillId="0" borderId="23" xfId="0" applyFont="1" applyBorder="1" applyAlignment="1" applyProtection="1">
      <alignment horizontal="center" vertical="center"/>
      <protection locked="0"/>
    </xf>
    <xf numFmtId="164" fontId="3" fillId="0" borderId="23" xfId="1" applyNumberFormat="1" applyFont="1" applyBorder="1" applyAlignment="1" applyProtection="1">
      <alignment horizontal="center" vertical="center"/>
      <protection locked="0"/>
    </xf>
    <xf numFmtId="0" fontId="3" fillId="0" borderId="23" xfId="0" applyFont="1" applyBorder="1" applyAlignment="1" applyProtection="1">
      <alignment horizontal="left" vertical="center"/>
      <protection locked="0"/>
    </xf>
    <xf numFmtId="9" fontId="3" fillId="0" borderId="25" xfId="2" applyFont="1" applyBorder="1" applyAlignment="1" applyProtection="1">
      <alignment horizontal="center" vertical="center"/>
      <protection locked="0"/>
    </xf>
    <xf numFmtId="0" fontId="3" fillId="0" borderId="3" xfId="0" applyFont="1" applyBorder="1" applyProtection="1">
      <protection locked="0"/>
    </xf>
    <xf numFmtId="0" fontId="3" fillId="0" borderId="21" xfId="0" applyFont="1" applyBorder="1" applyAlignment="1" applyProtection="1">
      <alignment horizontal="center" vertical="center"/>
      <protection locked="0"/>
    </xf>
    <xf numFmtId="0" fontId="3" fillId="0" borderId="4" xfId="0" applyFont="1" applyBorder="1" applyAlignment="1" applyProtection="1">
      <alignment horizontal="center" vertical="center"/>
      <protection locked="0"/>
    </xf>
    <xf numFmtId="164" fontId="3" fillId="0" borderId="4" xfId="1" applyNumberFormat="1" applyFont="1" applyBorder="1" applyAlignment="1" applyProtection="1">
      <alignment horizontal="center" vertical="center"/>
      <protection locked="0"/>
    </xf>
    <xf numFmtId="0" fontId="3" fillId="0" borderId="4" xfId="0" applyFont="1" applyBorder="1" applyAlignment="1" applyProtection="1">
      <alignment horizontal="left" vertical="center"/>
      <protection locked="0"/>
    </xf>
    <xf numFmtId="9" fontId="3" fillId="0" borderId="5" xfId="2" applyFont="1" applyBorder="1" applyAlignment="1" applyProtection="1">
      <alignment horizontal="center" vertical="center"/>
      <protection locked="0"/>
    </xf>
    <xf numFmtId="164" fontId="3" fillId="0" borderId="4" xfId="1" applyNumberFormat="1" applyFont="1" applyFill="1" applyBorder="1" applyAlignment="1" applyProtection="1">
      <alignment horizontal="center" vertical="center"/>
      <protection locked="0"/>
    </xf>
    <xf numFmtId="0" fontId="3" fillId="0" borderId="6" xfId="0" applyFont="1" applyBorder="1" applyProtection="1">
      <protection locked="0"/>
    </xf>
    <xf numFmtId="0" fontId="3" fillId="0" borderId="22" xfId="0" applyFont="1" applyBorder="1" applyAlignment="1" applyProtection="1">
      <alignment horizontal="center" vertical="center"/>
      <protection locked="0"/>
    </xf>
    <xf numFmtId="0" fontId="3" fillId="0" borderId="7" xfId="0" applyFont="1" applyBorder="1" applyAlignment="1" applyProtection="1">
      <alignment horizontal="center" vertical="center"/>
      <protection locked="0"/>
    </xf>
    <xf numFmtId="164" fontId="3" fillId="0" borderId="7" xfId="1" applyNumberFormat="1" applyFont="1" applyBorder="1" applyAlignment="1" applyProtection="1">
      <alignment horizontal="center" vertical="center"/>
      <protection locked="0"/>
    </xf>
    <xf numFmtId="0" fontId="3" fillId="0" borderId="7" xfId="0" applyFont="1" applyBorder="1" applyAlignment="1" applyProtection="1">
      <alignment horizontal="left" vertical="center"/>
      <protection locked="0"/>
    </xf>
    <xf numFmtId="9" fontId="3" fillId="0" borderId="8" xfId="2" applyFont="1" applyBorder="1" applyAlignment="1" applyProtection="1">
      <alignment horizontal="center" vertical="center"/>
      <protection locked="0"/>
    </xf>
    <xf numFmtId="0" fontId="3" fillId="0" borderId="17" xfId="0" applyFont="1" applyBorder="1" applyAlignment="1" applyProtection="1">
      <alignment horizontal="center" vertical="center"/>
      <protection locked="0"/>
    </xf>
    <xf numFmtId="0" fontId="3" fillId="0" borderId="18" xfId="0" applyFont="1" applyBorder="1" applyAlignment="1" applyProtection="1">
      <alignment horizontal="center" vertical="center"/>
      <protection locked="0"/>
    </xf>
    <xf numFmtId="164" fontId="3" fillId="0" borderId="18" xfId="1" applyNumberFormat="1" applyFont="1" applyBorder="1" applyAlignment="1" applyProtection="1">
      <alignment horizontal="center" vertical="center"/>
      <protection locked="0"/>
    </xf>
    <xf numFmtId="0" fontId="3" fillId="0" borderId="3" xfId="0" applyFont="1" applyBorder="1" applyAlignment="1" applyProtection="1">
      <alignment horizontal="center" vertical="center"/>
      <protection locked="0"/>
    </xf>
    <xf numFmtId="0" fontId="3" fillId="0" borderId="6" xfId="0" applyFont="1" applyBorder="1" applyAlignment="1" applyProtection="1">
      <alignment horizontal="center" vertical="center"/>
      <protection locked="0"/>
    </xf>
    <xf numFmtId="0" fontId="3" fillId="0" borderId="34" xfId="0" applyFont="1" applyBorder="1" applyAlignment="1" applyProtection="1">
      <alignment horizontal="left" vertical="center"/>
      <protection locked="0"/>
    </xf>
    <xf numFmtId="0" fontId="3" fillId="0" borderId="35" xfId="0" applyFont="1" applyBorder="1" applyAlignment="1" applyProtection="1">
      <alignment horizontal="left" vertical="center"/>
      <protection locked="0"/>
    </xf>
    <xf numFmtId="0" fontId="3" fillId="0" borderId="36" xfId="0" applyFont="1" applyBorder="1" applyAlignment="1" applyProtection="1">
      <alignment horizontal="left" vertical="center"/>
      <protection locked="0"/>
    </xf>
    <xf numFmtId="0" fontId="3" fillId="0" borderId="31" xfId="0" applyFont="1" applyBorder="1" applyAlignment="1" applyProtection="1">
      <alignment horizontal="left" vertical="center"/>
      <protection locked="0"/>
    </xf>
    <xf numFmtId="0" fontId="3" fillId="0" borderId="32" xfId="0" applyFont="1" applyBorder="1" applyAlignment="1" applyProtection="1">
      <alignment horizontal="left" vertical="center"/>
      <protection locked="0"/>
    </xf>
    <xf numFmtId="0" fontId="3" fillId="0" borderId="33" xfId="0" applyFont="1" applyBorder="1" applyAlignment="1" applyProtection="1">
      <alignment horizontal="left" vertical="center"/>
      <protection locked="0"/>
    </xf>
    <xf numFmtId="0" fontId="3" fillId="2" borderId="9" xfId="0" applyFont="1" applyFill="1" applyBorder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0" borderId="9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3" fillId="0" borderId="28" xfId="0" applyFont="1" applyBorder="1" applyAlignment="1" applyProtection="1">
      <alignment horizontal="left" vertical="center"/>
      <protection locked="0"/>
    </xf>
    <xf numFmtId="0" fontId="3" fillId="0" borderId="29" xfId="0" applyFont="1" applyBorder="1" applyAlignment="1" applyProtection="1">
      <alignment horizontal="left" vertical="center"/>
      <protection locked="0"/>
    </xf>
    <xf numFmtId="0" fontId="3" fillId="0" borderId="30" xfId="0" applyFont="1" applyBorder="1" applyAlignment="1" applyProtection="1">
      <alignment horizontal="left" vertical="center"/>
      <protection locked="0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3" fillId="0" borderId="37" xfId="0" applyFont="1" applyBorder="1" applyAlignment="1" applyProtection="1">
      <alignment horizontal="left" vertical="center"/>
      <protection locked="0"/>
    </xf>
    <xf numFmtId="0" fontId="3" fillId="0" borderId="38" xfId="0" applyFont="1" applyBorder="1" applyAlignment="1" applyProtection="1">
      <alignment horizontal="left" vertical="center"/>
      <protection locked="0"/>
    </xf>
    <xf numFmtId="14" fontId="3" fillId="0" borderId="11" xfId="0" applyNumberFormat="1" applyFont="1" applyBorder="1" applyAlignment="1" applyProtection="1">
      <alignment horizontal="center"/>
      <protection locked="0"/>
    </xf>
    <xf numFmtId="0" fontId="3" fillId="0" borderId="10" xfId="0" applyFont="1" applyBorder="1" applyAlignment="1" applyProtection="1">
      <alignment horizontal="center"/>
      <protection locked="0"/>
    </xf>
    <xf numFmtId="0" fontId="3" fillId="0" borderId="11" xfId="0" applyFont="1" applyBorder="1" applyAlignment="1" applyProtection="1">
      <alignment horizontal="center"/>
      <protection locked="0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0" borderId="14" xfId="0" applyFont="1" applyBorder="1" applyAlignment="1" applyProtection="1">
      <alignment horizontal="center" vertical="center"/>
      <protection locked="0"/>
    </xf>
    <xf numFmtId="0" fontId="3" fillId="0" borderId="15" xfId="0" applyFont="1" applyBorder="1" applyAlignment="1" applyProtection="1">
      <alignment horizontal="center" vertical="center"/>
      <protection locked="0"/>
    </xf>
    <xf numFmtId="0" fontId="3" fillId="0" borderId="16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wrapText="1"/>
    </xf>
    <xf numFmtId="0" fontId="3" fillId="0" borderId="19" xfId="0" applyFont="1" applyBorder="1" applyAlignment="1">
      <alignment horizontal="left" vertical="center" wrapText="1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184149</xdr:colOff>
      <xdr:row>0</xdr:row>
      <xdr:rowOff>19050</xdr:rowOff>
    </xdr:from>
    <xdr:to>
      <xdr:col>11</xdr:col>
      <xdr:colOff>3486150</xdr:colOff>
      <xdr:row>8</xdr:row>
      <xdr:rowOff>27447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23ECB20-E248-2D71-8791-3C0A0C20EA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51974" y="19050"/>
          <a:ext cx="5864225" cy="2133832"/>
        </a:xfrm>
        <a:prstGeom prst="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74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  <a:ln>
          <a:solidFill>
            <a:schemeClr val="accent1"/>
          </a:solidFill>
        </a:ln>
        <a:effectLst>
          <a:softEdge rad="0"/>
        </a:effec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5CC6702-DA0B-4C03-B631-C447203B629D}" name="Thickness" displayName="Thickness" ref="A1:A10" totalsRowShown="0">
  <autoFilter ref="A1:A10" xr:uid="{C5CC6702-DA0B-4C03-B631-C447203B629D}"/>
  <tableColumns count="1">
    <tableColumn id="1" xr3:uid="{3EE7BF72-7A9F-434C-802D-6A6251C8040C}" name="Thicknes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35630DF-91C2-40A0-BF4F-B4904279D125}" name="Sort_Descriptions" displayName="Sort_Descriptions" ref="C1:D12" totalsRowShown="0">
  <autoFilter ref="C1:D12" xr:uid="{735630DF-91C2-40A0-BF4F-B4904279D125}"/>
  <tableColumns count="2">
    <tableColumn id="1" xr3:uid="{F0B66591-8D64-4A93-A225-CF75EE426544}" name="Sort Descriptions"/>
    <tableColumn id="2" xr3:uid="{A751FF57-EF48-4C84-8058-D69791338306}" name="Group Grade Cod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53A904E-ED45-440A-A91B-947B1B570802}" name="DetailGrades" displayName="DetailGrades" ref="F1:G10" totalsRowShown="0">
  <autoFilter ref="F1:G10" xr:uid="{F53A904E-ED45-440A-A91B-947B1B570802}"/>
  <tableColumns count="2">
    <tableColumn id="1" xr3:uid="{684B06F2-3B96-4567-B3FD-B19DC97FC5DF}" name="DetailGrades"/>
    <tableColumn id="2" xr3:uid="{BB695C42-6C6E-4493-919C-127C8F840369}" name="Spec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9050E25-D605-465F-A5C5-BEBB331A7834}" name="Colors" displayName="Colors" ref="I1:K10" totalsRowShown="0">
  <autoFilter ref="I1:K10" xr:uid="{D9050E25-D605-465F-A5C5-BEBB331A7834}"/>
  <tableColumns count="3">
    <tableColumn id="1" xr3:uid="{064F217A-864D-4D28-B81B-9DF0F106C01B}" name="Colors"/>
    <tableColumn id="2" xr3:uid="{309814C7-069F-4A96-8DF4-812A64C5B7FF}" name="Code"/>
    <tableColumn id="3" xr3:uid="{6CF74D40-4132-425C-8116-AF888DB11BE2}" name="Description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6D043A5-F5DE-428B-A3A8-378CF85FA045}" name="Widths" displayName="Widths" ref="M1:M20" totalsRowShown="0">
  <autoFilter ref="M1:M20" xr:uid="{C6D043A5-F5DE-428B-A3A8-378CF85FA045}"/>
  <sortState xmlns:xlrd2="http://schemas.microsoft.com/office/spreadsheetml/2017/richdata2" ref="M2:M16">
    <sortCondition ref="M1:M16"/>
  </sortState>
  <tableColumns count="1">
    <tableColumn id="1" xr3:uid="{35984192-AC6E-43AB-9652-77BB54DA10C6}" name="Width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7597BDA-AB27-4483-A155-E3FC4E404713}" name="Lengths" displayName="Lengths" ref="O1:O13" totalsRowShown="0">
  <autoFilter ref="O1:O13" xr:uid="{F7597BDA-AB27-4483-A155-E3FC4E404713}"/>
  <tableColumns count="1">
    <tableColumn id="1" xr3:uid="{DF45A3FC-4607-4649-899E-5A77DAFB664B}" name="Length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CE86A81-1FD9-471F-90CD-0B1491CE985D}" name="CantSorts" displayName="CantSorts" ref="Q1:Q12" totalsRowShown="0">
  <autoFilter ref="Q1:Q12" xr:uid="{7CE86A81-1FD9-471F-90CD-0B1491CE985D}"/>
  <tableColumns count="1">
    <tableColumn id="1" xr3:uid="{D5858AEB-60DD-48FB-8994-94A507255295}" name="CantSort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F4BA7EDB-971A-453D-9358-C70502C01F73}" name="TieSorts" displayName="TieSorts" ref="S1:S5" totalsRowShown="0">
  <autoFilter ref="S1:S5" xr:uid="{F4BA7EDB-971A-453D-9358-C70502C01F73}"/>
  <tableColumns count="1">
    <tableColumn id="1" xr3:uid="{00264335-3338-412B-9C86-1859C215B35C}" name="TieSort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EB438E59-650F-482D-8601-39C14C2753E3}" name="Species" displayName="Species" ref="U1:U14" totalsRowShown="0">
  <autoFilter ref="U1:U14" xr:uid="{EB438E59-650F-482D-8601-39C14C2753E3}"/>
  <tableColumns count="1">
    <tableColumn id="1" xr3:uid="{96D6BAB6-7CB3-4ACA-914C-0BA6AA597559}" name="Specie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42F031D1-5472-4E6F-ADF1-63E906622935}" name="Priority" displayName="Priority" ref="W1:W6" totalsRowShown="0">
  <autoFilter ref="W1:W6" xr:uid="{42F031D1-5472-4E6F-ADF1-63E906622935}"/>
  <tableColumns count="1">
    <tableColumn id="1" xr3:uid="{8E8D3938-BC3E-4708-8863-D4731AA1D2E5}" name="Priorit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10" Type="http://schemas.openxmlformats.org/officeDocument/2006/relationships/table" Target="../tables/table10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D5BC0-B3B7-4D6E-B706-AD32A599A3B6}">
  <sheetPr>
    <pageSetUpPr fitToPage="1"/>
  </sheetPr>
  <dimension ref="A1:M62"/>
  <sheetViews>
    <sheetView tabSelected="1" zoomScale="80" zoomScaleNormal="80" zoomScaleSheetLayoutView="70" workbookViewId="0">
      <selection activeCell="B1" sqref="B1:C1"/>
    </sheetView>
  </sheetViews>
  <sheetFormatPr defaultColWidth="8.90625" defaultRowHeight="21" x14ac:dyDescent="0.5"/>
  <cols>
    <col min="1" max="1" width="18.36328125" style="5" bestFit="1" customWidth="1"/>
    <col min="2" max="2" width="15.36328125" style="5" bestFit="1" customWidth="1"/>
    <col min="3" max="3" width="8.54296875" style="5" bestFit="1" customWidth="1"/>
    <col min="4" max="4" width="20.6328125" style="5" bestFit="1" customWidth="1"/>
    <col min="5" max="5" width="16.453125" style="5" bestFit="1" customWidth="1"/>
    <col min="6" max="6" width="9.54296875" style="5" bestFit="1" customWidth="1"/>
    <col min="7" max="7" width="15.54296875" style="5" bestFit="1" customWidth="1"/>
    <col min="8" max="8" width="16.36328125" style="5" bestFit="1" customWidth="1"/>
    <col min="9" max="9" width="17.453125" style="5" bestFit="1" customWidth="1"/>
    <col min="10" max="10" width="16.90625" style="5" bestFit="1" customWidth="1"/>
    <col min="11" max="11" width="20.36328125" style="6" bestFit="1" customWidth="1"/>
    <col min="12" max="12" width="52.90625" style="5" bestFit="1" customWidth="1"/>
    <col min="13" max="13" width="11.453125" style="5" bestFit="1" customWidth="1"/>
    <col min="14" max="16384" width="8.90625" style="3"/>
  </cols>
  <sheetData>
    <row r="1" spans="1:13" ht="22.25" customHeight="1" thickTop="1" thickBot="1" x14ac:dyDescent="0.55000000000000004">
      <c r="A1" s="4" t="s">
        <v>115</v>
      </c>
      <c r="B1" s="67">
        <v>46196</v>
      </c>
      <c r="C1" s="68"/>
      <c r="E1" s="52" t="s">
        <v>116</v>
      </c>
      <c r="F1" s="53"/>
      <c r="G1" s="53"/>
      <c r="H1" s="53"/>
      <c r="I1" s="54"/>
    </row>
    <row r="2" spans="1:13" ht="19.5" customHeight="1" thickTop="1" thickBot="1" x14ac:dyDescent="0.55000000000000004">
      <c r="A2" s="4" t="s">
        <v>114</v>
      </c>
      <c r="B2" s="69">
        <v>230</v>
      </c>
      <c r="C2" s="68"/>
      <c r="E2" s="72" t="s">
        <v>131</v>
      </c>
      <c r="F2" s="73"/>
      <c r="G2" s="73"/>
      <c r="H2" s="73"/>
      <c r="I2" s="74"/>
    </row>
    <row r="3" spans="1:13" ht="22" thickTop="1" thickBot="1" x14ac:dyDescent="0.55000000000000004"/>
    <row r="4" spans="1:13" ht="21.5" thickBot="1" x14ac:dyDescent="0.55000000000000004">
      <c r="A4" s="70" t="s">
        <v>7</v>
      </c>
      <c r="B4" s="71"/>
      <c r="D4" s="70" t="s">
        <v>118</v>
      </c>
      <c r="E4" s="71"/>
      <c r="G4" s="70" t="s">
        <v>117</v>
      </c>
      <c r="H4" s="71"/>
    </row>
    <row r="5" spans="1:13" ht="21.5" thickBot="1" x14ac:dyDescent="0.55000000000000004">
      <c r="A5" s="7" t="s">
        <v>1</v>
      </c>
      <c r="B5" s="20">
        <v>0.83</v>
      </c>
      <c r="D5" s="7" t="s">
        <v>137</v>
      </c>
      <c r="E5" s="20">
        <v>0.5</v>
      </c>
      <c r="G5" s="8" t="str" cm="1">
        <f t="array" ref="G5:G8">IFERROR(_xlfn.UNIQUE(_xlfn._xlws.FILTER(B13:B28,B13:B28&lt;&gt;"")),"")</f>
        <v>4/4</v>
      </c>
      <c r="H5" s="21">
        <v>0.3</v>
      </c>
    </row>
    <row r="6" spans="1:13" ht="21.5" thickBot="1" x14ac:dyDescent="0.55000000000000004">
      <c r="A6" s="7" t="s">
        <v>8</v>
      </c>
      <c r="B6" s="20">
        <v>0.17</v>
      </c>
      <c r="D6" s="7" t="s">
        <v>138</v>
      </c>
      <c r="E6" s="20">
        <v>0.25</v>
      </c>
      <c r="G6" s="8" t="str">
        <v>6/4</v>
      </c>
      <c r="H6" s="21">
        <v>0.35</v>
      </c>
    </row>
    <row r="7" spans="1:13" ht="21.5" thickBot="1" x14ac:dyDescent="0.55000000000000004">
      <c r="A7" s="7" t="s">
        <v>9</v>
      </c>
      <c r="B7" s="20"/>
      <c r="D7" s="7" t="s">
        <v>139</v>
      </c>
      <c r="E7" s="20">
        <v>0.25</v>
      </c>
      <c r="F7" s="9"/>
      <c r="G7" s="8" t="str">
        <v>8/4</v>
      </c>
      <c r="H7" s="21">
        <v>0.35</v>
      </c>
    </row>
    <row r="8" spans="1:13" ht="21.5" thickBot="1" x14ac:dyDescent="0.55000000000000004">
      <c r="B8" s="10"/>
      <c r="C8" s="11"/>
      <c r="E8" s="12"/>
      <c r="F8" s="11"/>
      <c r="G8" s="8" t="str">
        <v>10/4</v>
      </c>
      <c r="H8" s="21"/>
    </row>
    <row r="9" spans="1:13" ht="21.5" thickBot="1" x14ac:dyDescent="0.55000000000000004">
      <c r="B9" s="10"/>
      <c r="C9" s="11"/>
      <c r="E9" s="10"/>
      <c r="F9" s="11"/>
      <c r="G9" s="8"/>
      <c r="H9" s="21"/>
    </row>
    <row r="10" spans="1:13" ht="9.5" customHeight="1" thickBot="1" x14ac:dyDescent="0.55000000000000004">
      <c r="F10" s="10"/>
      <c r="G10" s="10"/>
      <c r="H10" s="10"/>
      <c r="I10" s="10"/>
      <c r="J10" s="10"/>
      <c r="K10" s="13"/>
    </row>
    <row r="11" spans="1:13" ht="40.25" customHeight="1" thickTop="1" thickBot="1" x14ac:dyDescent="0.55000000000000004">
      <c r="A11" s="52" t="s">
        <v>1</v>
      </c>
      <c r="B11" s="53"/>
      <c r="C11" s="53"/>
      <c r="D11" s="53"/>
      <c r="E11" s="53"/>
      <c r="F11" s="53"/>
      <c r="G11" s="53"/>
      <c r="H11" s="53"/>
      <c r="I11" s="53"/>
      <c r="J11" s="53"/>
      <c r="K11" s="53"/>
      <c r="L11" s="53"/>
      <c r="M11" s="54"/>
    </row>
    <row r="12" spans="1:13" ht="40.25" customHeight="1" thickTop="1" thickBot="1" x14ac:dyDescent="0.5">
      <c r="A12" s="14" t="s">
        <v>140</v>
      </c>
      <c r="B12" s="14" t="s">
        <v>2</v>
      </c>
      <c r="C12" s="14" t="s">
        <v>93</v>
      </c>
      <c r="D12" s="14" t="s">
        <v>33</v>
      </c>
      <c r="E12" s="14" t="s">
        <v>94</v>
      </c>
      <c r="F12" s="14" t="s">
        <v>3</v>
      </c>
      <c r="G12" s="14" t="s">
        <v>4</v>
      </c>
      <c r="H12" s="14" t="s">
        <v>78</v>
      </c>
      <c r="I12" s="14" t="s">
        <v>77</v>
      </c>
      <c r="J12" s="14" t="s">
        <v>79</v>
      </c>
      <c r="K12" s="15" t="s">
        <v>5</v>
      </c>
      <c r="L12" s="14" t="s">
        <v>6</v>
      </c>
      <c r="M12" s="14" t="s">
        <v>159</v>
      </c>
    </row>
    <row r="13" spans="1:13" ht="40.25" customHeight="1" thickTop="1" x14ac:dyDescent="0.5">
      <c r="A13" s="22" t="s">
        <v>179</v>
      </c>
      <c r="B13" s="23" t="s">
        <v>10</v>
      </c>
      <c r="C13" s="24">
        <v>3</v>
      </c>
      <c r="D13" s="24" t="s">
        <v>173</v>
      </c>
      <c r="E13" s="24" t="s">
        <v>28</v>
      </c>
      <c r="F13" s="24" t="s">
        <v>40</v>
      </c>
      <c r="G13" s="24" t="s">
        <v>50</v>
      </c>
      <c r="H13" s="24" t="s">
        <v>69</v>
      </c>
      <c r="I13" s="24" t="s">
        <v>82</v>
      </c>
      <c r="J13" s="24" t="s">
        <v>87</v>
      </c>
      <c r="K13" s="25">
        <v>2650</v>
      </c>
      <c r="L13" s="26" t="s">
        <v>178</v>
      </c>
      <c r="M13" s="27">
        <v>0.3</v>
      </c>
    </row>
    <row r="14" spans="1:13" ht="40.25" customHeight="1" x14ac:dyDescent="0.5">
      <c r="A14" s="28"/>
      <c r="B14" s="29"/>
      <c r="C14" s="30"/>
      <c r="D14" s="30"/>
      <c r="E14" s="30"/>
      <c r="F14" s="30" t="s">
        <v>42</v>
      </c>
      <c r="G14" s="30" t="s">
        <v>50</v>
      </c>
      <c r="H14" s="30" t="s">
        <v>162</v>
      </c>
      <c r="I14" s="30" t="s">
        <v>81</v>
      </c>
      <c r="J14" s="30" t="s">
        <v>87</v>
      </c>
      <c r="K14" s="31">
        <v>1185</v>
      </c>
      <c r="L14" s="32"/>
      <c r="M14" s="33"/>
    </row>
    <row r="15" spans="1:13" ht="40.25" customHeight="1" x14ac:dyDescent="0.5">
      <c r="A15" s="28"/>
      <c r="B15" s="29"/>
      <c r="C15" s="30"/>
      <c r="D15" s="30"/>
      <c r="E15" s="30"/>
      <c r="F15" s="30" t="s">
        <v>43</v>
      </c>
      <c r="G15" s="30" t="s">
        <v>50</v>
      </c>
      <c r="H15" s="30" t="s">
        <v>162</v>
      </c>
      <c r="I15" s="30" t="s">
        <v>81</v>
      </c>
      <c r="J15" s="30" t="s">
        <v>87</v>
      </c>
      <c r="K15" s="31">
        <v>655</v>
      </c>
      <c r="L15" s="32"/>
      <c r="M15" s="33"/>
    </row>
    <row r="16" spans="1:13" ht="40.25" customHeight="1" x14ac:dyDescent="0.5">
      <c r="A16" s="28"/>
      <c r="B16" s="29"/>
      <c r="C16" s="30"/>
      <c r="D16" s="30"/>
      <c r="E16" s="30"/>
      <c r="F16" s="30" t="s">
        <v>161</v>
      </c>
      <c r="G16" s="30" t="s">
        <v>50</v>
      </c>
      <c r="H16" s="30" t="s">
        <v>70</v>
      </c>
      <c r="I16" s="30" t="s">
        <v>81</v>
      </c>
      <c r="J16" s="30" t="s">
        <v>87</v>
      </c>
      <c r="K16" s="31">
        <v>780</v>
      </c>
      <c r="L16" s="32"/>
      <c r="M16" s="33"/>
    </row>
    <row r="17" spans="1:13" ht="40.25" customHeight="1" x14ac:dyDescent="0.5">
      <c r="A17" s="28" t="s">
        <v>176</v>
      </c>
      <c r="B17" s="29" t="s">
        <v>10</v>
      </c>
      <c r="C17" s="30">
        <v>3</v>
      </c>
      <c r="D17" s="30" t="s">
        <v>177</v>
      </c>
      <c r="E17" s="30" t="s">
        <v>92</v>
      </c>
      <c r="F17" s="30" t="s">
        <v>45</v>
      </c>
      <c r="G17" s="30" t="s">
        <v>50</v>
      </c>
      <c r="H17" s="30" t="s">
        <v>67</v>
      </c>
      <c r="I17" s="30" t="s">
        <v>81</v>
      </c>
      <c r="J17" s="30" t="s">
        <v>87</v>
      </c>
      <c r="K17" s="34">
        <v>300</v>
      </c>
      <c r="L17" s="32" t="s">
        <v>175</v>
      </c>
      <c r="M17" s="33"/>
    </row>
    <row r="18" spans="1:13" ht="40.25" customHeight="1" x14ac:dyDescent="0.5">
      <c r="A18" s="28"/>
      <c r="B18" s="29"/>
      <c r="C18" s="30"/>
      <c r="D18" s="30"/>
      <c r="E18" s="30"/>
      <c r="F18" s="30"/>
      <c r="G18" s="30"/>
      <c r="H18" s="30"/>
      <c r="I18" s="30"/>
      <c r="J18" s="30"/>
      <c r="K18" s="31"/>
      <c r="L18" s="32"/>
      <c r="M18" s="33"/>
    </row>
    <row r="19" spans="1:13" ht="40.25" customHeight="1" x14ac:dyDescent="0.5">
      <c r="A19" s="28" t="s">
        <v>174</v>
      </c>
      <c r="B19" s="29" t="s">
        <v>12</v>
      </c>
      <c r="C19" s="30">
        <v>3</v>
      </c>
      <c r="D19" s="30" t="s">
        <v>177</v>
      </c>
      <c r="E19" s="30" t="s">
        <v>28</v>
      </c>
      <c r="F19" s="30" t="s">
        <v>40</v>
      </c>
      <c r="G19" s="30" t="s">
        <v>50</v>
      </c>
      <c r="H19" s="30" t="s">
        <v>69</v>
      </c>
      <c r="I19" s="30" t="s">
        <v>82</v>
      </c>
      <c r="J19" s="30" t="s">
        <v>87</v>
      </c>
      <c r="K19" s="31">
        <v>3150</v>
      </c>
      <c r="L19" s="32" t="s">
        <v>182</v>
      </c>
      <c r="M19" s="33">
        <v>0.35</v>
      </c>
    </row>
    <row r="20" spans="1:13" ht="40.25" customHeight="1" x14ac:dyDescent="0.5">
      <c r="A20" s="28"/>
      <c r="B20" s="29"/>
      <c r="C20" s="30"/>
      <c r="D20" s="30"/>
      <c r="E20" s="30"/>
      <c r="F20" s="30" t="s">
        <v>42</v>
      </c>
      <c r="G20" s="30" t="s">
        <v>50</v>
      </c>
      <c r="H20" s="30" t="s">
        <v>162</v>
      </c>
      <c r="I20" s="30" t="s">
        <v>81</v>
      </c>
      <c r="J20" s="30" t="s">
        <v>87</v>
      </c>
      <c r="K20" s="31">
        <v>1430</v>
      </c>
      <c r="L20" s="32"/>
      <c r="M20" s="33"/>
    </row>
    <row r="21" spans="1:13" ht="40.25" customHeight="1" x14ac:dyDescent="0.5">
      <c r="A21" s="28"/>
      <c r="B21" s="29"/>
      <c r="C21" s="30"/>
      <c r="D21" s="30"/>
      <c r="E21" s="30"/>
      <c r="F21" s="30" t="s">
        <v>43</v>
      </c>
      <c r="G21" s="30" t="s">
        <v>50</v>
      </c>
      <c r="H21" s="30" t="s">
        <v>162</v>
      </c>
      <c r="I21" s="30" t="s">
        <v>81</v>
      </c>
      <c r="J21" s="30" t="s">
        <v>87</v>
      </c>
      <c r="K21" s="31">
        <v>880</v>
      </c>
      <c r="L21" s="32"/>
      <c r="M21" s="33"/>
    </row>
    <row r="22" spans="1:13" ht="40.25" customHeight="1" x14ac:dyDescent="0.5">
      <c r="A22" s="28"/>
      <c r="B22" s="29"/>
      <c r="C22" s="30"/>
      <c r="D22" s="30"/>
      <c r="E22" s="30"/>
      <c r="F22" s="30"/>
      <c r="G22" s="30"/>
      <c r="H22" s="30"/>
      <c r="I22" s="30"/>
      <c r="J22" s="30"/>
      <c r="K22" s="31"/>
      <c r="L22" s="32"/>
      <c r="M22" s="33"/>
    </row>
    <row r="23" spans="1:13" ht="40.25" customHeight="1" x14ac:dyDescent="0.5">
      <c r="A23" s="28"/>
      <c r="B23" s="29"/>
      <c r="C23" s="30"/>
      <c r="D23" s="30"/>
      <c r="E23" s="30"/>
      <c r="F23" s="30"/>
      <c r="G23" s="30"/>
      <c r="H23" s="30"/>
      <c r="I23" s="30"/>
      <c r="J23" s="30"/>
      <c r="K23" s="31"/>
      <c r="L23" s="32"/>
      <c r="M23" s="33"/>
    </row>
    <row r="24" spans="1:13" ht="40.25" customHeight="1" x14ac:dyDescent="0.5">
      <c r="A24" s="28" t="s">
        <v>174</v>
      </c>
      <c r="B24" s="29" t="s">
        <v>14</v>
      </c>
      <c r="C24" s="30">
        <v>3</v>
      </c>
      <c r="D24" s="30" t="s">
        <v>173</v>
      </c>
      <c r="E24" s="30" t="s">
        <v>28</v>
      </c>
      <c r="F24" s="30" t="s">
        <v>40</v>
      </c>
      <c r="G24" s="30" t="s">
        <v>50</v>
      </c>
      <c r="H24" s="30" t="s">
        <v>69</v>
      </c>
      <c r="I24" s="30" t="s">
        <v>82</v>
      </c>
      <c r="J24" s="30" t="s">
        <v>87</v>
      </c>
      <c r="K24" s="31">
        <v>3500</v>
      </c>
      <c r="L24" s="32" t="s">
        <v>182</v>
      </c>
      <c r="M24" s="33">
        <v>0.35</v>
      </c>
    </row>
    <row r="25" spans="1:13" ht="40.25" customHeight="1" x14ac:dyDescent="0.5">
      <c r="A25" s="28"/>
      <c r="B25" s="29"/>
      <c r="C25" s="30"/>
      <c r="D25" s="30"/>
      <c r="E25" s="30"/>
      <c r="F25" s="30" t="s">
        <v>42</v>
      </c>
      <c r="G25" s="30" t="s">
        <v>50</v>
      </c>
      <c r="H25" s="30" t="s">
        <v>68</v>
      </c>
      <c r="I25" s="30" t="s">
        <v>81</v>
      </c>
      <c r="J25" s="30" t="s">
        <v>87</v>
      </c>
      <c r="K25" s="31">
        <v>1450</v>
      </c>
      <c r="L25" s="32"/>
      <c r="M25" s="33"/>
    </row>
    <row r="26" spans="1:13" ht="40.25" customHeight="1" x14ac:dyDescent="0.5">
      <c r="A26" s="28"/>
      <c r="B26" s="29"/>
      <c r="C26" s="30"/>
      <c r="D26" s="30"/>
      <c r="E26" s="30"/>
      <c r="F26" s="30" t="s">
        <v>43</v>
      </c>
      <c r="G26" s="30" t="s">
        <v>50</v>
      </c>
      <c r="H26" s="30" t="s">
        <v>68</v>
      </c>
      <c r="I26" s="30" t="s">
        <v>81</v>
      </c>
      <c r="J26" s="30" t="s">
        <v>87</v>
      </c>
      <c r="K26" s="31">
        <v>930</v>
      </c>
      <c r="L26" s="32"/>
      <c r="M26" s="33"/>
    </row>
    <row r="27" spans="1:13" ht="40.25" customHeight="1" x14ac:dyDescent="0.5">
      <c r="A27" s="28"/>
      <c r="B27" s="29"/>
      <c r="C27" s="30"/>
      <c r="D27" s="30"/>
      <c r="E27" s="30"/>
      <c r="F27" s="30"/>
      <c r="G27" s="30"/>
      <c r="H27" s="30"/>
      <c r="I27" s="30"/>
      <c r="J27" s="30"/>
      <c r="K27" s="31"/>
      <c r="L27" s="32"/>
      <c r="M27" s="33"/>
    </row>
    <row r="28" spans="1:13" ht="40.25" customHeight="1" thickBot="1" x14ac:dyDescent="0.55000000000000004">
      <c r="A28" s="35" t="s">
        <v>174</v>
      </c>
      <c r="B28" s="36" t="s">
        <v>16</v>
      </c>
      <c r="C28" s="37">
        <v>3</v>
      </c>
      <c r="D28" s="37" t="s">
        <v>173</v>
      </c>
      <c r="E28" s="37" t="s">
        <v>21</v>
      </c>
      <c r="F28" s="37" t="s">
        <v>40</v>
      </c>
      <c r="G28" s="37" t="s">
        <v>50</v>
      </c>
      <c r="H28" s="37" t="s">
        <v>70</v>
      </c>
      <c r="I28" s="37" t="s">
        <v>83</v>
      </c>
      <c r="J28" s="37" t="s">
        <v>87</v>
      </c>
      <c r="K28" s="38">
        <v>4430</v>
      </c>
      <c r="L28" s="39" t="s">
        <v>185</v>
      </c>
      <c r="M28" s="40"/>
    </row>
    <row r="29" spans="1:13" ht="40.25" customHeight="1" thickTop="1" thickBot="1" x14ac:dyDescent="0.55000000000000004">
      <c r="A29" s="52" t="s">
        <v>156</v>
      </c>
      <c r="B29" s="53"/>
      <c r="C29" s="53"/>
      <c r="D29" s="53"/>
      <c r="E29" s="53"/>
      <c r="F29" s="53"/>
      <c r="G29" s="53"/>
      <c r="H29" s="53"/>
      <c r="I29" s="53"/>
      <c r="J29" s="53"/>
      <c r="K29" s="53"/>
      <c r="L29" s="53"/>
      <c r="M29" s="54"/>
    </row>
    <row r="30" spans="1:13" ht="40.25" customHeight="1" thickTop="1" thickBot="1" x14ac:dyDescent="0.5">
      <c r="A30" s="16" t="s">
        <v>157</v>
      </c>
      <c r="B30" s="75" t="s">
        <v>158</v>
      </c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</row>
    <row r="31" spans="1:13" ht="40.25" customHeight="1" thickTop="1" x14ac:dyDescent="0.45">
      <c r="A31" s="17" t="str" cm="1">
        <f t="array" ref="A31">IFERROR(_xlfn.UNIQUE(_xlfn._xlws.FILTER(G13:G28,G13:G28&lt;&gt;"")),"")</f>
        <v>UNSEL</v>
      </c>
      <c r="B31" s="76" t="str">
        <f>IF(A31&lt;&gt;"",_xlfn.XLOOKUP(A31,Colors[Colors],Colors[Description],"",0),"")</f>
        <v>Unselected - No color specifications</v>
      </c>
      <c r="C31" s="76"/>
      <c r="D31" s="76"/>
      <c r="E31" s="76"/>
      <c r="F31" s="76"/>
      <c r="G31" s="76"/>
      <c r="H31" s="76"/>
      <c r="I31" s="76"/>
      <c r="J31" s="76"/>
      <c r="K31" s="76"/>
      <c r="L31" s="76"/>
      <c r="M31" s="77"/>
    </row>
    <row r="32" spans="1:13" ht="40.25" customHeight="1" x14ac:dyDescent="0.45">
      <c r="A32" s="18"/>
      <c r="B32" s="61" t="str">
        <f>IF(A32&lt;&gt;"",_xlfn.XLOOKUP(A32,Colors[Colors],Colors[Description],"",0),"")</f>
        <v/>
      </c>
      <c r="C32" s="61"/>
      <c r="D32" s="61"/>
      <c r="E32" s="61"/>
      <c r="F32" s="61"/>
      <c r="G32" s="61"/>
      <c r="H32" s="61"/>
      <c r="I32" s="61"/>
      <c r="J32" s="61"/>
      <c r="K32" s="61"/>
      <c r="L32" s="61"/>
      <c r="M32" s="62"/>
    </row>
    <row r="33" spans="1:13" ht="40.25" customHeight="1" x14ac:dyDescent="0.45">
      <c r="A33" s="18"/>
      <c r="B33" s="61" t="str">
        <f>IF(A33&lt;&gt;"",_xlfn.XLOOKUP(A33,Colors[Colors],Colors[Description],"",0),"")</f>
        <v/>
      </c>
      <c r="C33" s="61"/>
      <c r="D33" s="61"/>
      <c r="E33" s="61"/>
      <c r="F33" s="61"/>
      <c r="G33" s="61"/>
      <c r="H33" s="61"/>
      <c r="I33" s="61"/>
      <c r="J33" s="61"/>
      <c r="K33" s="61"/>
      <c r="L33" s="61"/>
      <c r="M33" s="62"/>
    </row>
    <row r="34" spans="1:13" ht="40.25" customHeight="1" x14ac:dyDescent="0.45">
      <c r="A34" s="18"/>
      <c r="B34" s="61" t="str">
        <f>IF(A34&lt;&gt;"",_xlfn.XLOOKUP(A34,Colors[Colors],Colors[Description],"",0),"")</f>
        <v/>
      </c>
      <c r="C34" s="61"/>
      <c r="D34" s="61"/>
      <c r="E34" s="61"/>
      <c r="F34" s="61"/>
      <c r="G34" s="61"/>
      <c r="H34" s="61"/>
      <c r="I34" s="61"/>
      <c r="J34" s="61"/>
      <c r="K34" s="61"/>
      <c r="L34" s="61"/>
      <c r="M34" s="62"/>
    </row>
    <row r="35" spans="1:13" ht="40.25" customHeight="1" x14ac:dyDescent="0.45">
      <c r="A35" s="18"/>
      <c r="B35" s="61" t="str">
        <f>IF(A35&lt;&gt;"",_xlfn.XLOOKUP(A35,Colors[Colors],Colors[Description],"",0),"")</f>
        <v/>
      </c>
      <c r="C35" s="61"/>
      <c r="D35" s="61"/>
      <c r="E35" s="61"/>
      <c r="F35" s="61"/>
      <c r="G35" s="61"/>
      <c r="H35" s="61"/>
      <c r="I35" s="61"/>
      <c r="J35" s="61"/>
      <c r="K35" s="61"/>
      <c r="L35" s="61"/>
      <c r="M35" s="62"/>
    </row>
    <row r="36" spans="1:13" ht="40.25" customHeight="1" thickBot="1" x14ac:dyDescent="0.5">
      <c r="A36" s="19"/>
      <c r="B36" s="63" t="str">
        <f>IF(A36&lt;&gt;"",_xlfn.XLOOKUP(A36,Colors[Colors],Colors[Description],"",0),"")</f>
        <v/>
      </c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4"/>
    </row>
    <row r="37" spans="1:13" ht="40.25" customHeight="1" thickTop="1" thickBot="1" x14ac:dyDescent="0.55000000000000004">
      <c r="A37" s="52" t="s">
        <v>141</v>
      </c>
      <c r="B37" s="53"/>
      <c r="C37" s="53"/>
      <c r="D37" s="53"/>
      <c r="E37" s="53"/>
      <c r="F37" s="53"/>
      <c r="G37" s="53"/>
      <c r="H37" s="53"/>
      <c r="I37" s="53"/>
      <c r="J37" s="53"/>
      <c r="K37" s="53"/>
      <c r="L37" s="53"/>
      <c r="M37" s="54"/>
    </row>
    <row r="38" spans="1:13" ht="40.25" customHeight="1" thickTop="1" x14ac:dyDescent="0.45">
      <c r="A38" s="65" t="s">
        <v>181</v>
      </c>
      <c r="B38" s="59"/>
      <c r="C38" s="59"/>
      <c r="D38" s="59"/>
      <c r="E38" s="59"/>
      <c r="F38" s="59"/>
      <c r="G38" s="59"/>
      <c r="H38" s="59"/>
      <c r="I38" s="59"/>
      <c r="J38" s="59"/>
      <c r="K38" s="59"/>
      <c r="L38" s="59"/>
      <c r="M38" s="60"/>
    </row>
    <row r="39" spans="1:13" ht="40.25" customHeight="1" x14ac:dyDescent="0.45">
      <c r="A39" s="66" t="s">
        <v>183</v>
      </c>
      <c r="B39" s="50"/>
      <c r="C39" s="50"/>
      <c r="D39" s="50"/>
      <c r="E39" s="50"/>
      <c r="F39" s="50"/>
      <c r="G39" s="50"/>
      <c r="H39" s="50"/>
      <c r="I39" s="50"/>
      <c r="J39" s="50"/>
      <c r="K39" s="50"/>
      <c r="L39" s="50"/>
      <c r="M39" s="51"/>
    </row>
    <row r="40" spans="1:13" ht="40.25" customHeight="1" x14ac:dyDescent="0.45">
      <c r="A40" s="66" t="s">
        <v>184</v>
      </c>
      <c r="B40" s="50"/>
      <c r="C40" s="50"/>
      <c r="D40" s="50"/>
      <c r="E40" s="50"/>
      <c r="F40" s="50"/>
      <c r="G40" s="50"/>
      <c r="H40" s="50"/>
      <c r="I40" s="50"/>
      <c r="J40" s="50"/>
      <c r="K40" s="50"/>
      <c r="L40" s="50"/>
      <c r="M40" s="51"/>
    </row>
    <row r="41" spans="1:13" ht="40.25" customHeight="1" thickBot="1" x14ac:dyDescent="0.5">
      <c r="A41" s="66" t="s">
        <v>180</v>
      </c>
      <c r="B41" s="50"/>
      <c r="C41" s="50"/>
      <c r="D41" s="50"/>
      <c r="E41" s="50"/>
      <c r="F41" s="50"/>
      <c r="G41" s="50"/>
      <c r="H41" s="50"/>
      <c r="I41" s="50"/>
      <c r="J41" s="50"/>
      <c r="K41" s="50"/>
      <c r="L41" s="50"/>
      <c r="M41" s="51"/>
    </row>
    <row r="42" spans="1:13" ht="40.25" customHeight="1" thickTop="1" thickBot="1" x14ac:dyDescent="0.55000000000000004">
      <c r="A42" s="52" t="s">
        <v>8</v>
      </c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4"/>
    </row>
    <row r="43" spans="1:13" ht="40.25" customHeight="1" thickTop="1" thickBot="1" x14ac:dyDescent="0.5">
      <c r="A43" s="14"/>
      <c r="B43" s="14" t="s">
        <v>107</v>
      </c>
      <c r="C43" s="14" t="s">
        <v>93</v>
      </c>
      <c r="D43" s="14" t="s">
        <v>94</v>
      </c>
      <c r="E43" s="14" t="s">
        <v>5</v>
      </c>
      <c r="F43" s="55" t="s">
        <v>6</v>
      </c>
      <c r="G43" s="56"/>
      <c r="H43" s="56"/>
      <c r="I43" s="56"/>
      <c r="J43" s="56"/>
      <c r="K43" s="56"/>
      <c r="L43" s="56"/>
      <c r="M43" s="57"/>
    </row>
    <row r="44" spans="1:13" ht="40.25" customHeight="1" thickTop="1" x14ac:dyDescent="0.45">
      <c r="A44" s="41"/>
      <c r="B44" s="42" t="s">
        <v>132</v>
      </c>
      <c r="C44" s="42">
        <v>3</v>
      </c>
      <c r="D44" s="42" t="s">
        <v>103</v>
      </c>
      <c r="E44" s="43">
        <v>500</v>
      </c>
      <c r="F44" s="58"/>
      <c r="G44" s="59"/>
      <c r="H44" s="59"/>
      <c r="I44" s="59"/>
      <c r="J44" s="59"/>
      <c r="K44" s="59"/>
      <c r="L44" s="59"/>
      <c r="M44" s="60"/>
    </row>
    <row r="45" spans="1:13" ht="40.25" customHeight="1" x14ac:dyDescent="0.45">
      <c r="A45" s="44"/>
      <c r="B45" s="30" t="s">
        <v>132</v>
      </c>
      <c r="C45" s="30">
        <v>3</v>
      </c>
      <c r="D45" s="30" t="s">
        <v>96</v>
      </c>
      <c r="E45" s="31">
        <v>500</v>
      </c>
      <c r="F45" s="49"/>
      <c r="G45" s="50"/>
      <c r="H45" s="50"/>
      <c r="I45" s="50"/>
      <c r="J45" s="50"/>
      <c r="K45" s="50"/>
      <c r="L45" s="50"/>
      <c r="M45" s="51"/>
    </row>
    <row r="46" spans="1:13" ht="40.25" customHeight="1" x14ac:dyDescent="0.45">
      <c r="A46" s="44"/>
      <c r="B46" s="30" t="s">
        <v>133</v>
      </c>
      <c r="C46" s="30">
        <v>3</v>
      </c>
      <c r="D46" s="30" t="s">
        <v>102</v>
      </c>
      <c r="E46" s="31">
        <v>450</v>
      </c>
      <c r="F46" s="49"/>
      <c r="G46" s="50"/>
      <c r="H46" s="50"/>
      <c r="I46" s="50"/>
      <c r="J46" s="50"/>
      <c r="K46" s="50"/>
      <c r="L46" s="50"/>
      <c r="M46" s="51"/>
    </row>
    <row r="47" spans="1:13" ht="40.25" customHeight="1" x14ac:dyDescent="0.45">
      <c r="A47" s="44"/>
      <c r="B47" s="30" t="s">
        <v>133</v>
      </c>
      <c r="C47" s="30">
        <v>3</v>
      </c>
      <c r="D47" s="30" t="s">
        <v>96</v>
      </c>
      <c r="E47" s="31">
        <v>450</v>
      </c>
      <c r="F47" s="49"/>
      <c r="G47" s="50"/>
      <c r="H47" s="50"/>
      <c r="I47" s="50"/>
      <c r="J47" s="50"/>
      <c r="K47" s="50"/>
      <c r="L47" s="50"/>
      <c r="M47" s="51"/>
    </row>
    <row r="48" spans="1:13" ht="40.25" customHeight="1" x14ac:dyDescent="0.45">
      <c r="A48" s="44"/>
      <c r="B48" s="30" t="s">
        <v>134</v>
      </c>
      <c r="C48" s="30">
        <v>3</v>
      </c>
      <c r="D48" s="30" t="s">
        <v>101</v>
      </c>
      <c r="E48" s="31">
        <v>425</v>
      </c>
      <c r="F48" s="49"/>
      <c r="G48" s="50"/>
      <c r="H48" s="50"/>
      <c r="I48" s="50"/>
      <c r="J48" s="50"/>
      <c r="K48" s="50"/>
      <c r="L48" s="50"/>
      <c r="M48" s="51"/>
    </row>
    <row r="49" spans="1:13" ht="40.25" customHeight="1" x14ac:dyDescent="0.45">
      <c r="A49" s="44"/>
      <c r="B49" s="30" t="s">
        <v>134</v>
      </c>
      <c r="C49" s="30">
        <v>3</v>
      </c>
      <c r="D49" s="30" t="s">
        <v>98</v>
      </c>
      <c r="E49" s="31">
        <v>425</v>
      </c>
      <c r="F49" s="49"/>
      <c r="G49" s="50"/>
      <c r="H49" s="50"/>
      <c r="I49" s="50"/>
      <c r="J49" s="50"/>
      <c r="K49" s="50"/>
      <c r="L49" s="50"/>
      <c r="M49" s="51"/>
    </row>
    <row r="50" spans="1:13" ht="40.25" customHeight="1" x14ac:dyDescent="0.45">
      <c r="A50" s="44"/>
      <c r="B50" s="30" t="s">
        <v>134</v>
      </c>
      <c r="C50" s="30">
        <v>3</v>
      </c>
      <c r="D50" s="30" t="s">
        <v>104</v>
      </c>
      <c r="E50" s="31">
        <v>400</v>
      </c>
      <c r="F50" s="49"/>
      <c r="G50" s="50"/>
      <c r="H50" s="50"/>
      <c r="I50" s="50"/>
      <c r="J50" s="50"/>
      <c r="K50" s="50"/>
      <c r="L50" s="50"/>
      <c r="M50" s="51"/>
    </row>
    <row r="51" spans="1:13" ht="40.25" customHeight="1" x14ac:dyDescent="0.45">
      <c r="A51" s="44"/>
      <c r="B51" s="30" t="s">
        <v>136</v>
      </c>
      <c r="C51" s="30">
        <v>3</v>
      </c>
      <c r="D51" s="30" t="s">
        <v>100</v>
      </c>
      <c r="E51" s="31">
        <v>350</v>
      </c>
      <c r="F51" s="49" t="s">
        <v>170</v>
      </c>
      <c r="G51" s="50"/>
      <c r="H51" s="50"/>
      <c r="I51" s="50"/>
      <c r="J51" s="50"/>
      <c r="K51" s="50"/>
      <c r="L51" s="50"/>
      <c r="M51" s="51"/>
    </row>
    <row r="52" spans="1:13" ht="40.25" customHeight="1" thickBot="1" x14ac:dyDescent="0.5">
      <c r="A52" s="45"/>
      <c r="B52" s="37"/>
      <c r="C52" s="37"/>
      <c r="D52" s="37"/>
      <c r="E52" s="38"/>
      <c r="F52" s="46"/>
      <c r="G52" s="47"/>
      <c r="H52" s="47"/>
      <c r="I52" s="47"/>
      <c r="J52" s="47"/>
      <c r="K52" s="47"/>
      <c r="L52" s="47"/>
      <c r="M52" s="48"/>
    </row>
    <row r="53" spans="1:13" ht="40.25" customHeight="1" thickTop="1" thickBot="1" x14ac:dyDescent="0.55000000000000004">
      <c r="A53" s="52" t="s">
        <v>9</v>
      </c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4"/>
    </row>
    <row r="54" spans="1:13" ht="40.25" customHeight="1" thickTop="1" thickBot="1" x14ac:dyDescent="0.5">
      <c r="A54" s="14"/>
      <c r="B54" s="14" t="s">
        <v>107</v>
      </c>
      <c r="C54" s="14" t="s">
        <v>93</v>
      </c>
      <c r="D54" s="14" t="s">
        <v>94</v>
      </c>
      <c r="E54" s="14" t="s">
        <v>5</v>
      </c>
      <c r="F54" s="55" t="s">
        <v>6</v>
      </c>
      <c r="G54" s="56"/>
      <c r="H54" s="56"/>
      <c r="I54" s="56"/>
      <c r="J54" s="56"/>
      <c r="K54" s="56"/>
      <c r="L54" s="56"/>
      <c r="M54" s="57"/>
    </row>
    <row r="55" spans="1:13" ht="40.25" customHeight="1" thickTop="1" x14ac:dyDescent="0.45">
      <c r="A55" s="41"/>
      <c r="B55" s="42"/>
      <c r="C55" s="42"/>
      <c r="D55" s="42"/>
      <c r="E55" s="43"/>
      <c r="F55" s="58"/>
      <c r="G55" s="59"/>
      <c r="H55" s="59"/>
      <c r="I55" s="59"/>
      <c r="J55" s="59"/>
      <c r="K55" s="59"/>
      <c r="L55" s="59"/>
      <c r="M55" s="60"/>
    </row>
    <row r="56" spans="1:13" ht="40.25" customHeight="1" x14ac:dyDescent="0.45">
      <c r="A56" s="44"/>
      <c r="B56" s="30"/>
      <c r="C56" s="30"/>
      <c r="D56" s="30"/>
      <c r="E56" s="31"/>
      <c r="F56" s="49"/>
      <c r="G56" s="50"/>
      <c r="H56" s="50"/>
      <c r="I56" s="50"/>
      <c r="J56" s="50"/>
      <c r="K56" s="50"/>
      <c r="L56" s="50"/>
      <c r="M56" s="51"/>
    </row>
    <row r="57" spans="1:13" ht="40.25" customHeight="1" thickBot="1" x14ac:dyDescent="0.5">
      <c r="A57" s="44"/>
      <c r="B57" s="30"/>
      <c r="C57" s="30"/>
      <c r="D57" s="30"/>
      <c r="E57" s="31"/>
      <c r="F57" s="46"/>
      <c r="G57" s="47"/>
      <c r="H57" s="47"/>
      <c r="I57" s="47"/>
      <c r="J57" s="47"/>
      <c r="K57" s="47"/>
      <c r="L57" s="47"/>
      <c r="M57" s="48"/>
    </row>
    <row r="58" spans="1:13" ht="40.25" customHeight="1" thickTop="1" thickBot="1" x14ac:dyDescent="0.55000000000000004">
      <c r="A58" s="52" t="s">
        <v>19</v>
      </c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4"/>
    </row>
    <row r="59" spans="1:13" ht="40.25" customHeight="1" thickTop="1" thickBot="1" x14ac:dyDescent="0.5">
      <c r="A59" s="14"/>
      <c r="B59" s="14" t="s">
        <v>107</v>
      </c>
      <c r="C59" s="14" t="s">
        <v>93</v>
      </c>
      <c r="D59" s="14" t="s">
        <v>94</v>
      </c>
      <c r="E59" s="14" t="s">
        <v>5</v>
      </c>
      <c r="F59" s="55" t="s">
        <v>6</v>
      </c>
      <c r="G59" s="56"/>
      <c r="H59" s="56"/>
      <c r="I59" s="56"/>
      <c r="J59" s="56"/>
      <c r="K59" s="56"/>
      <c r="L59" s="56"/>
      <c r="M59" s="57"/>
    </row>
    <row r="60" spans="1:13" ht="40.25" customHeight="1" thickTop="1" x14ac:dyDescent="0.45">
      <c r="A60" s="41"/>
      <c r="B60" s="42" t="s">
        <v>136</v>
      </c>
      <c r="C60" s="42">
        <v>2</v>
      </c>
      <c r="D60" s="23" t="s">
        <v>10</v>
      </c>
      <c r="E60" s="43">
        <v>275</v>
      </c>
      <c r="F60" s="58"/>
      <c r="G60" s="59"/>
      <c r="H60" s="59"/>
      <c r="I60" s="59"/>
      <c r="J60" s="59"/>
      <c r="K60" s="59"/>
      <c r="L60" s="59"/>
      <c r="M60" s="60"/>
    </row>
    <row r="61" spans="1:13" ht="40.25" customHeight="1" thickBot="1" x14ac:dyDescent="0.5">
      <c r="A61" s="45"/>
      <c r="B61" s="37"/>
      <c r="C61" s="37"/>
      <c r="D61" s="37"/>
      <c r="E61" s="38"/>
      <c r="F61" s="46"/>
      <c r="G61" s="47"/>
      <c r="H61" s="47"/>
      <c r="I61" s="47"/>
      <c r="J61" s="47"/>
      <c r="K61" s="47"/>
      <c r="L61" s="47"/>
      <c r="M61" s="48"/>
    </row>
    <row r="62" spans="1:13" ht="21.5" thickTop="1" x14ac:dyDescent="0.5"/>
  </sheetData>
  <sheetProtection algorithmName="SHA-512" hashValue="1CC3n0ipDpk6c381gKxkr7OO6P5vEU3nlZFR+vtG+1FlJqeGd8RPXsVJ6NyWD3qwHko2nHIsSrzn41DhANG/4w==" saltValue="9S3PHMnQi/Bv80wTCQbelg==" spinCount="100000" sheet="1" objects="1" scenarios="1"/>
  <mergeCells count="41">
    <mergeCell ref="B1:C1"/>
    <mergeCell ref="B2:C2"/>
    <mergeCell ref="A42:M42"/>
    <mergeCell ref="F43:M43"/>
    <mergeCell ref="F44:M44"/>
    <mergeCell ref="A11:M11"/>
    <mergeCell ref="G4:H4"/>
    <mergeCell ref="D4:E4"/>
    <mergeCell ref="A4:B4"/>
    <mergeCell ref="E2:I2"/>
    <mergeCell ref="E1:I1"/>
    <mergeCell ref="A29:M29"/>
    <mergeCell ref="B30:M30"/>
    <mergeCell ref="B31:M31"/>
    <mergeCell ref="B32:M32"/>
    <mergeCell ref="B33:M33"/>
    <mergeCell ref="B34:M34"/>
    <mergeCell ref="B35:M35"/>
    <mergeCell ref="B36:M36"/>
    <mergeCell ref="F45:M45"/>
    <mergeCell ref="F46:M46"/>
    <mergeCell ref="A37:M37"/>
    <mergeCell ref="A38:M38"/>
    <mergeCell ref="A39:M39"/>
    <mergeCell ref="A40:M40"/>
    <mergeCell ref="A41:M41"/>
    <mergeCell ref="F47:M47"/>
    <mergeCell ref="F59:M59"/>
    <mergeCell ref="F60:M60"/>
    <mergeCell ref="F55:M55"/>
    <mergeCell ref="F56:M56"/>
    <mergeCell ref="F57:M57"/>
    <mergeCell ref="F61:M61"/>
    <mergeCell ref="F48:M48"/>
    <mergeCell ref="F49:M49"/>
    <mergeCell ref="F50:M50"/>
    <mergeCell ref="F51:M51"/>
    <mergeCell ref="F52:M52"/>
    <mergeCell ref="A53:M53"/>
    <mergeCell ref="A58:M58"/>
    <mergeCell ref="F54:M54"/>
  </mergeCells>
  <dataValidations count="11">
    <dataValidation type="list" allowBlank="1" showInputMessage="1" showErrorMessage="1" sqref="B13:B41 D60:D61" xr:uid="{4621B0E1-C370-4E59-997C-FD6FDA5A63B7}">
      <formula1>INDIRECT("Thickness")</formula1>
    </dataValidation>
    <dataValidation type="list" allowBlank="1" showInputMessage="1" showErrorMessage="1" sqref="E13:E41" xr:uid="{9CB3675F-BAFA-4D60-90B2-443D905DC763}">
      <formula1>INDIRECT("Sort_Descriptions[Sort Descriptions]")</formula1>
    </dataValidation>
    <dataValidation type="list" allowBlank="1" showInputMessage="1" showErrorMessage="1" sqref="F13:F41" xr:uid="{D120940D-CF55-4A46-BF75-AB5B2921FB4F}">
      <formula1>INDIRECT("DetailGrades[DetailGrades]")</formula1>
    </dataValidation>
    <dataValidation type="list" allowBlank="1" showInputMessage="1" showErrorMessage="1" sqref="G13:G41" xr:uid="{8E1507B3-2E65-4F07-B8FD-B707A54BE72A}">
      <formula1>INDIRECT("Colors[Colors]")</formula1>
    </dataValidation>
    <dataValidation type="list" allowBlank="1" showInputMessage="1" showErrorMessage="1" sqref="H13:H41" xr:uid="{E50D465D-BE0F-467A-9AA9-E657E18197C0}">
      <formula1>INDIRECT("Widths")</formula1>
    </dataValidation>
    <dataValidation type="list" allowBlank="1" showInputMessage="1" showErrorMessage="1" sqref="I13:J41" xr:uid="{4980FE3A-94EB-4B15-8A81-AC1BDFC185CC}">
      <formula1>INDIRECT("Lengths")</formula1>
    </dataValidation>
    <dataValidation type="list" allowBlank="1" showInputMessage="1" showErrorMessage="1" sqref="D44:D52" xr:uid="{5606BCA9-2E79-4910-BF2C-BEB628F4031B}">
      <formula1>INDIRECT("CantSorts")</formula1>
    </dataValidation>
    <dataValidation type="list" allowBlank="1" showInputMessage="1" showErrorMessage="1" sqref="E2:I2" xr:uid="{00F70A57-0B60-4EFF-A64A-B13282FF98D4}">
      <formula1>INDIRECT("Species")</formula1>
    </dataValidation>
    <dataValidation type="list" allowBlank="1" showInputMessage="1" showErrorMessage="1" sqref="B44:B52 B55:B57 B60:B61" xr:uid="{1E75247E-CF3D-4472-8859-7AF73B53A8E4}">
      <formula1>INDIRECT("Priority")</formula1>
    </dataValidation>
    <dataValidation type="list" allowBlank="1" showInputMessage="1" showErrorMessage="1" sqref="D55:D57" xr:uid="{E97D0813-B37F-4349-B945-28CC90990A9D}">
      <formula1>INDIRECT("TieSorts")</formula1>
    </dataValidation>
    <dataValidation type="list" allowBlank="1" showInputMessage="1" showErrorMessage="1" sqref="D13:D28" xr:uid="{E08D5460-F650-4D92-8FBE-A6272A3E6E40}">
      <formula1>"YES,NO"</formula1>
    </dataValidation>
  </dataValidations>
  <pageMargins left="0.25" right="0.25" top="0.75" bottom="0.75" header="0.3" footer="0.3"/>
  <pageSetup scale="45" fitToHeight="0" orientation="portrait" horizontalDpi="4294967293" r:id="rId1"/>
  <rowBreaks count="1" manualBreakCount="1">
    <brk id="41" max="12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A0A11-4DA6-418B-866F-D5B6956565A1}">
  <dimension ref="A1:W20"/>
  <sheetViews>
    <sheetView workbookViewId="0">
      <selection activeCell="A16" sqref="A16"/>
    </sheetView>
  </sheetViews>
  <sheetFormatPr defaultRowHeight="14.5" x14ac:dyDescent="0.35"/>
  <cols>
    <col min="1" max="1" width="11.453125" bestFit="1" customWidth="1"/>
    <col min="3" max="3" width="20.54296875" bestFit="1" customWidth="1"/>
    <col min="6" max="7" width="14" customWidth="1"/>
    <col min="9" max="9" width="10.90625" bestFit="1" customWidth="1"/>
    <col min="10" max="10" width="7.54296875" bestFit="1" customWidth="1"/>
    <col min="11" max="11" width="234.36328125" bestFit="1" customWidth="1"/>
    <col min="13" max="13" width="12.6328125" bestFit="1" customWidth="1"/>
    <col min="15" max="15" width="9.36328125" customWidth="1"/>
    <col min="17" max="17" width="12.36328125" bestFit="1" customWidth="1"/>
    <col min="19" max="19" width="9.6328125" customWidth="1"/>
    <col min="21" max="21" width="10" bestFit="1" customWidth="1"/>
    <col min="23" max="23" width="8.6328125" customWidth="1"/>
  </cols>
  <sheetData>
    <row r="1" spans="1:23" x14ac:dyDescent="0.35">
      <c r="A1" t="s">
        <v>2</v>
      </c>
      <c r="C1" t="s">
        <v>20</v>
      </c>
      <c r="D1" t="s">
        <v>32</v>
      </c>
      <c r="F1" t="s">
        <v>47</v>
      </c>
      <c r="G1" t="s">
        <v>23</v>
      </c>
      <c r="I1" t="s">
        <v>48</v>
      </c>
      <c r="J1" t="s">
        <v>57</v>
      </c>
      <c r="K1" t="s">
        <v>146</v>
      </c>
      <c r="M1" t="s">
        <v>66</v>
      </c>
      <c r="O1" t="s">
        <v>80</v>
      </c>
      <c r="Q1" t="s">
        <v>95</v>
      </c>
      <c r="S1" t="s">
        <v>109</v>
      </c>
      <c r="U1" t="s">
        <v>0</v>
      </c>
      <c r="W1" t="s">
        <v>107</v>
      </c>
    </row>
    <row r="2" spans="1:23" x14ac:dyDescent="0.35">
      <c r="A2" s="1" t="s">
        <v>10</v>
      </c>
      <c r="C2" t="s">
        <v>21</v>
      </c>
      <c r="D2" t="s">
        <v>34</v>
      </c>
      <c r="F2" t="s">
        <v>40</v>
      </c>
      <c r="G2" t="s">
        <v>63</v>
      </c>
      <c r="I2" t="s">
        <v>50</v>
      </c>
      <c r="J2" t="s">
        <v>34</v>
      </c>
      <c r="K2" t="s">
        <v>147</v>
      </c>
      <c r="M2" t="s">
        <v>67</v>
      </c>
      <c r="O2" t="s">
        <v>81</v>
      </c>
      <c r="Q2" t="s">
        <v>97</v>
      </c>
      <c r="S2" t="s">
        <v>112</v>
      </c>
      <c r="U2" t="s">
        <v>119</v>
      </c>
      <c r="W2" t="s">
        <v>132</v>
      </c>
    </row>
    <row r="3" spans="1:23" x14ac:dyDescent="0.35">
      <c r="A3" s="1" t="s">
        <v>11</v>
      </c>
      <c r="C3" t="s">
        <v>22</v>
      </c>
      <c r="D3" t="s">
        <v>34</v>
      </c>
      <c r="F3" t="s">
        <v>41</v>
      </c>
      <c r="G3" t="s">
        <v>64</v>
      </c>
      <c r="I3" t="s">
        <v>51</v>
      </c>
      <c r="J3" t="s">
        <v>49</v>
      </c>
      <c r="K3" t="s">
        <v>151</v>
      </c>
      <c r="M3" t="s">
        <v>162</v>
      </c>
      <c r="O3" t="s">
        <v>82</v>
      </c>
      <c r="Q3" t="s">
        <v>96</v>
      </c>
      <c r="S3" t="s">
        <v>111</v>
      </c>
      <c r="U3" t="s">
        <v>120</v>
      </c>
      <c r="W3" t="s">
        <v>133</v>
      </c>
    </row>
    <row r="4" spans="1:23" x14ac:dyDescent="0.35">
      <c r="A4" s="1" t="s">
        <v>12</v>
      </c>
      <c r="C4" t="s">
        <v>24</v>
      </c>
      <c r="D4" t="s">
        <v>34</v>
      </c>
      <c r="F4" t="s">
        <v>42</v>
      </c>
      <c r="G4" t="s">
        <v>65</v>
      </c>
      <c r="I4" t="s">
        <v>53</v>
      </c>
      <c r="J4" t="s">
        <v>58</v>
      </c>
      <c r="K4" t="s">
        <v>152</v>
      </c>
      <c r="M4" t="s">
        <v>68</v>
      </c>
      <c r="O4" t="s">
        <v>83</v>
      </c>
      <c r="Q4" t="s">
        <v>98</v>
      </c>
      <c r="S4" t="s">
        <v>110</v>
      </c>
      <c r="U4" t="s">
        <v>121</v>
      </c>
      <c r="W4" t="s">
        <v>134</v>
      </c>
    </row>
    <row r="5" spans="1:23" ht="43.5" x14ac:dyDescent="0.35">
      <c r="A5" s="1" t="s">
        <v>13</v>
      </c>
      <c r="C5" t="s">
        <v>25</v>
      </c>
      <c r="D5" t="s">
        <v>34</v>
      </c>
      <c r="F5" t="s">
        <v>43</v>
      </c>
      <c r="G5" t="s">
        <v>65</v>
      </c>
      <c r="I5" t="s">
        <v>54</v>
      </c>
      <c r="J5" t="s">
        <v>59</v>
      </c>
      <c r="K5" s="2" t="s">
        <v>150</v>
      </c>
      <c r="M5" t="s">
        <v>163</v>
      </c>
      <c r="O5" t="s">
        <v>108</v>
      </c>
      <c r="Q5" t="s">
        <v>99</v>
      </c>
      <c r="S5" t="s">
        <v>113</v>
      </c>
      <c r="U5" t="s">
        <v>122</v>
      </c>
      <c r="W5" t="s">
        <v>135</v>
      </c>
    </row>
    <row r="6" spans="1:23" x14ac:dyDescent="0.35">
      <c r="A6" s="1" t="s">
        <v>14</v>
      </c>
      <c r="C6" t="s">
        <v>26</v>
      </c>
      <c r="D6" t="s">
        <v>35</v>
      </c>
      <c r="F6" t="s">
        <v>44</v>
      </c>
      <c r="G6" t="s">
        <v>65</v>
      </c>
      <c r="I6" t="s">
        <v>55</v>
      </c>
      <c r="J6" t="s">
        <v>62</v>
      </c>
      <c r="K6" t="s">
        <v>148</v>
      </c>
      <c r="M6" t="s">
        <v>69</v>
      </c>
      <c r="O6" t="s">
        <v>84</v>
      </c>
      <c r="Q6" t="s">
        <v>100</v>
      </c>
      <c r="U6" t="s">
        <v>123</v>
      </c>
      <c r="W6" t="s">
        <v>136</v>
      </c>
    </row>
    <row r="7" spans="1:23" x14ac:dyDescent="0.35">
      <c r="A7" s="1" t="s">
        <v>15</v>
      </c>
      <c r="C7" t="s">
        <v>27</v>
      </c>
      <c r="D7" t="s">
        <v>34</v>
      </c>
      <c r="F7" t="s">
        <v>45</v>
      </c>
      <c r="G7" t="s">
        <v>65</v>
      </c>
      <c r="I7" t="s">
        <v>56</v>
      </c>
      <c r="J7" t="s">
        <v>61</v>
      </c>
      <c r="K7" t="s">
        <v>149</v>
      </c>
      <c r="M7" t="s">
        <v>160</v>
      </c>
      <c r="O7" t="s">
        <v>85</v>
      </c>
      <c r="Q7" t="s">
        <v>101</v>
      </c>
      <c r="U7" t="s">
        <v>124</v>
      </c>
    </row>
    <row r="8" spans="1:23" ht="29" x14ac:dyDescent="0.35">
      <c r="A8" s="1" t="s">
        <v>16</v>
      </c>
      <c r="C8" t="s">
        <v>92</v>
      </c>
      <c r="D8" t="s">
        <v>37</v>
      </c>
      <c r="F8" t="s">
        <v>46</v>
      </c>
      <c r="G8" t="s">
        <v>65</v>
      </c>
      <c r="I8" t="s">
        <v>52</v>
      </c>
      <c r="J8" t="s">
        <v>60</v>
      </c>
      <c r="K8" s="2" t="s">
        <v>153</v>
      </c>
      <c r="M8" t="s">
        <v>164</v>
      </c>
      <c r="O8" t="s">
        <v>86</v>
      </c>
      <c r="Q8" t="s">
        <v>102</v>
      </c>
      <c r="U8" t="s">
        <v>125</v>
      </c>
    </row>
    <row r="9" spans="1:23" x14ac:dyDescent="0.35">
      <c r="A9" s="1" t="s">
        <v>17</v>
      </c>
      <c r="C9" t="s">
        <v>28</v>
      </c>
      <c r="D9" t="s">
        <v>38</v>
      </c>
      <c r="F9" t="s">
        <v>38</v>
      </c>
      <c r="G9" t="s">
        <v>65</v>
      </c>
      <c r="I9" s="1" t="s">
        <v>142</v>
      </c>
      <c r="J9" s="1" t="s">
        <v>145</v>
      </c>
      <c r="K9" t="s">
        <v>154</v>
      </c>
      <c r="M9" t="s">
        <v>70</v>
      </c>
      <c r="O9" t="s">
        <v>87</v>
      </c>
      <c r="Q9" t="s">
        <v>103</v>
      </c>
      <c r="U9" t="s">
        <v>126</v>
      </c>
    </row>
    <row r="10" spans="1:23" x14ac:dyDescent="0.35">
      <c r="A10" s="1" t="s">
        <v>18</v>
      </c>
      <c r="C10" t="s">
        <v>29</v>
      </c>
      <c r="D10" t="s">
        <v>39</v>
      </c>
      <c r="F10" t="s">
        <v>161</v>
      </c>
      <c r="I10" t="s">
        <v>143</v>
      </c>
      <c r="J10" t="s">
        <v>144</v>
      </c>
      <c r="K10" t="s">
        <v>155</v>
      </c>
      <c r="M10" t="s">
        <v>165</v>
      </c>
      <c r="O10" t="s">
        <v>88</v>
      </c>
      <c r="Q10" t="s">
        <v>104</v>
      </c>
      <c r="U10" t="s">
        <v>127</v>
      </c>
    </row>
    <row r="11" spans="1:23" x14ac:dyDescent="0.35">
      <c r="C11" t="s">
        <v>30</v>
      </c>
      <c r="D11" t="s">
        <v>36</v>
      </c>
      <c r="M11" t="s">
        <v>71</v>
      </c>
      <c r="O11" t="s">
        <v>89</v>
      </c>
      <c r="Q11" t="s">
        <v>105</v>
      </c>
      <c r="U11" t="s">
        <v>128</v>
      </c>
    </row>
    <row r="12" spans="1:23" x14ac:dyDescent="0.35">
      <c r="C12" t="s">
        <v>31</v>
      </c>
      <c r="D12" t="s">
        <v>34</v>
      </c>
      <c r="M12" t="s">
        <v>166</v>
      </c>
      <c r="O12" t="s">
        <v>90</v>
      </c>
      <c r="Q12" t="s">
        <v>106</v>
      </c>
      <c r="U12" t="s">
        <v>129</v>
      </c>
    </row>
    <row r="13" spans="1:23" x14ac:dyDescent="0.35">
      <c r="M13" t="s">
        <v>72</v>
      </c>
      <c r="O13" t="s">
        <v>91</v>
      </c>
      <c r="U13" t="s">
        <v>130</v>
      </c>
    </row>
    <row r="14" spans="1:23" x14ac:dyDescent="0.35">
      <c r="M14" t="s">
        <v>167</v>
      </c>
      <c r="U14" t="s">
        <v>131</v>
      </c>
    </row>
    <row r="15" spans="1:23" x14ac:dyDescent="0.35">
      <c r="A15" t="s">
        <v>171</v>
      </c>
      <c r="B15" t="s">
        <v>172</v>
      </c>
      <c r="M15" t="s">
        <v>73</v>
      </c>
    </row>
    <row r="16" spans="1:23" x14ac:dyDescent="0.35">
      <c r="M16" t="s">
        <v>168</v>
      </c>
    </row>
    <row r="17" spans="13:13" x14ac:dyDescent="0.35">
      <c r="M17" t="s">
        <v>74</v>
      </c>
    </row>
    <row r="18" spans="13:13" x14ac:dyDescent="0.35">
      <c r="M18" t="s">
        <v>169</v>
      </c>
    </row>
    <row r="19" spans="13:13" x14ac:dyDescent="0.35">
      <c r="M19" t="s">
        <v>75</v>
      </c>
    </row>
    <row r="20" spans="13:13" x14ac:dyDescent="0.35">
      <c r="M20" t="s">
        <v>76</v>
      </c>
    </row>
  </sheetData>
  <pageMargins left="0.7" right="0.7" top="0.75" bottom="0.75" header="0.3" footer="0.3"/>
  <tableParts count="10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Sheet1</vt:lpstr>
      <vt:lpstr>Data Validation</vt:lpstr>
      <vt:lpstr>Sheet1!Print_Area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Azzarella</dc:creator>
  <cp:lastModifiedBy>Bennett Hanke</cp:lastModifiedBy>
  <cp:lastPrinted>2025-12-01T18:46:10Z</cp:lastPrinted>
  <dcterms:created xsi:type="dcterms:W3CDTF">2025-10-07T17:23:54Z</dcterms:created>
  <dcterms:modified xsi:type="dcterms:W3CDTF">2026-06-29T16:06:52Z</dcterms:modified>
</cp:coreProperties>
</file>