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" yWindow="570" windowWidth="19185" windowHeight="11265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7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44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45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topLeftCell="A42" zoomScale="80" zoomScaleNormal="80" zoomScaleSheetLayoutView="70" workbookViewId="0">
      <selection activeCell="F47" sqref="F47:M47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2.5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46208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48" t="n">
        <v>100</v>
      </c>
      <c r="C2" s="80" t="n"/>
      <c r="E2" s="84" t="inlineStr">
        <is>
          <t>Poplar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0.86</v>
      </c>
      <c r="D5" s="7" t="inlineStr">
        <is>
          <t>PRIME</t>
        </is>
      </c>
      <c r="E5" s="20" t="n">
        <v>0.6</v>
      </c>
      <c r="G5" s="8">
        <f t="array" ref="G5:G6">IFERROR(_xlfn.UNIQUE(_xlfn._xlws.FILTER(B13:B28,B13:B28&lt;&gt;"")),"")</f>
        <v/>
      </c>
      <c r="H5" s="21" t="n">
        <v>0.8</v>
      </c>
    </row>
    <row r="6" ht="21.5" customHeight="1" thickBot="1">
      <c r="A6" s="7" t="inlineStr">
        <is>
          <t>Cants</t>
        </is>
      </c>
      <c r="B6" s="20" t="n">
        <v>0.14</v>
      </c>
      <c r="D6" s="7" t="inlineStr">
        <is>
          <t>1COM</t>
        </is>
      </c>
      <c r="E6" s="20" t="n">
        <v>0.3</v>
      </c>
      <c r="G6" s="8" t="inlineStr">
        <is>
          <t>8/4</t>
        </is>
      </c>
      <c r="H6" s="21" t="n">
        <v>0.2</v>
      </c>
    </row>
    <row r="7" ht="21.5" customHeight="1" thickBot="1">
      <c r="A7" s="7" t="inlineStr">
        <is>
          <t>Ties</t>
        </is>
      </c>
      <c r="B7" s="20" t="n"/>
      <c r="D7" s="7" t="inlineStr">
        <is>
          <t>2COM</t>
        </is>
      </c>
      <c r="E7" s="20" t="n">
        <v>0.1</v>
      </c>
      <c r="F7" s="9" t="n"/>
      <c r="G7" s="8" t="n"/>
      <c r="H7" s="21" t="n"/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.25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.2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69" customHeight="1" thickTop="1">
      <c r="A13" s="22" t="inlineStr">
        <is>
          <t>Smyrna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980</v>
      </c>
      <c r="L13" s="26" t="inlineStr">
        <is>
          <t>see additional notes</t>
        </is>
      </c>
      <c r="M13" s="27" t="n">
        <v>0.8</v>
      </c>
      <c r="N13" s="89" t="inlineStr">
        <is>
          <t>4/4 x Rw &gt; 5 x RandomL +3" FAS OPT Unsel TUL
4/4 x RandomW x RandomL +3" 3ACOM OPT Unsel TUL
4/4 x RandomW x RandomL +3" 3B OPT ? TUL</t>
        </is>
      </c>
      <c r="O13" s="89" t="inlineStr">
        <is>
          <t>16384390297302182
16419852799858441
16384390298242192</t>
        </is>
      </c>
      <c r="P13" s="90" t="n">
        <v>3</v>
      </c>
    </row>
    <row r="14" ht="40.25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UNSEL</t>
        </is>
      </c>
      <c r="H14" s="30" t="inlineStr">
        <is>
          <t>3.5"</t>
        </is>
      </c>
      <c r="I14" s="30" t="inlineStr">
        <is>
          <t>6'</t>
        </is>
      </c>
      <c r="J14" s="30" t="inlineStr">
        <is>
          <t>12'</t>
        </is>
      </c>
      <c r="K14" s="34" t="n">
        <v>555</v>
      </c>
      <c r="L14" s="32" t="n"/>
      <c r="M14" s="33" t="n"/>
      <c r="N14" s="89" t="inlineStr">
        <is>
          <t>4/4 x RandomW x RandomL +3" 1COM OPT Unsel TUL</t>
        </is>
      </c>
      <c r="O14" s="89" t="inlineStr">
        <is>
          <t>16384390297932187</t>
        </is>
      </c>
      <c r="P14" s="90" t="n">
        <v>1</v>
      </c>
    </row>
    <row r="15" ht="40.25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UNSEL</t>
        </is>
      </c>
      <c r="H15" s="30" t="inlineStr">
        <is>
          <t>3.5"</t>
        </is>
      </c>
      <c r="I15" s="30" t="inlineStr">
        <is>
          <t>6'</t>
        </is>
      </c>
      <c r="J15" s="30" t="inlineStr">
        <is>
          <t>12'</t>
        </is>
      </c>
      <c r="K15" s="34" t="n">
        <v>380</v>
      </c>
      <c r="L15" s="32" t="n"/>
      <c r="M15" s="33" t="n"/>
      <c r="N15" s="89" t="inlineStr">
        <is>
          <t>4/4 x RandomW x RandomL +3" 2COM OPT Unsel TUL</t>
        </is>
      </c>
      <c r="O15" s="89" t="inlineStr">
        <is>
          <t>16419852799318436</t>
        </is>
      </c>
      <c r="P15" s="90" t="n">
        <v>1</v>
      </c>
    </row>
    <row r="16" ht="40.25" customHeight="1">
      <c r="A16" s="28" t="n"/>
      <c r="B16" s="29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4" t="n"/>
      <c r="L16" s="32" t="n"/>
      <c r="M16" s="33" t="n"/>
    </row>
    <row r="17" ht="48" customHeight="1">
      <c r="A17" s="28" t="inlineStr">
        <is>
          <t>Cayuta</t>
        </is>
      </c>
      <c r="B17" s="29" t="inlineStr">
        <is>
          <t>8/4</t>
        </is>
      </c>
      <c r="C17" s="30" t="n">
        <v>3</v>
      </c>
      <c r="D17" s="30" t="inlineStr">
        <is>
          <t>YES</t>
        </is>
      </c>
      <c r="E17" s="30" t="inlineStr">
        <is>
          <t>1-BTR</t>
        </is>
      </c>
      <c r="F17" s="30" t="inlineStr">
        <is>
          <t>PR</t>
        </is>
      </c>
      <c r="G17" s="30" t="inlineStr">
        <is>
          <t>UNSEL</t>
        </is>
      </c>
      <c r="H17" s="30" t="inlineStr">
        <is>
          <t>5"</t>
        </is>
      </c>
      <c r="I17" s="30" t="inlineStr">
        <is>
          <t>7'</t>
        </is>
      </c>
      <c r="J17" s="30" t="inlineStr">
        <is>
          <t>12'</t>
        </is>
      </c>
      <c r="K17" s="34" t="n">
        <v>1080</v>
      </c>
      <c r="L17" s="32" t="inlineStr">
        <is>
          <t>see additional notes</t>
        </is>
      </c>
      <c r="M17" s="33" t="n">
        <v>0.2</v>
      </c>
      <c r="N17" s="89" t="inlineStr">
        <is>
          <t>8/4 x Rw &gt; 5 x RandomL +3" FAS OPT Unsel TUL
8/4 x RandomW x RandomL +3" 3ACOM OPT Unsel TUL</t>
        </is>
      </c>
      <c r="O17" s="89" t="inlineStr">
        <is>
          <t>16081486320655025
16167545887031729</t>
        </is>
      </c>
      <c r="P17" s="90" t="n">
        <v>2</v>
      </c>
    </row>
    <row r="18" ht="40.25" customHeight="1">
      <c r="A18" s="28" t="n"/>
      <c r="B18" s="29" t="n"/>
      <c r="C18" s="30" t="n"/>
      <c r="D18" s="30" t="n"/>
      <c r="E18" s="30" t="n"/>
      <c r="F18" s="30" t="inlineStr">
        <is>
          <t>1C</t>
        </is>
      </c>
      <c r="G18" s="30" t="inlineStr">
        <is>
          <t>UNSEL</t>
        </is>
      </c>
      <c r="H18" s="30" t="inlineStr">
        <is>
          <t>4"</t>
        </is>
      </c>
      <c r="I18" s="30" t="inlineStr">
        <is>
          <t>6'</t>
        </is>
      </c>
      <c r="J18" s="30" t="inlineStr">
        <is>
          <t>12'</t>
        </is>
      </c>
      <c r="K18" s="34" t="n">
        <v>555</v>
      </c>
      <c r="L18" s="32" t="n"/>
      <c r="M18" s="33" t="n"/>
      <c r="N18" s="89" t="inlineStr">
        <is>
          <t>8/4 x RandomW x RandomL +3" 1COM OPT Unsel TUL</t>
        </is>
      </c>
      <c r="O18" s="89" t="inlineStr">
        <is>
          <t>16081486320775030</t>
        </is>
      </c>
      <c r="P18" s="90" t="n">
        <v>1</v>
      </c>
    </row>
    <row r="19" ht="40.25" customHeight="1">
      <c r="A19" s="28" t="n"/>
      <c r="B19" s="29" t="n"/>
      <c r="C19" s="30" t="n"/>
      <c r="D19" s="30" t="n"/>
      <c r="E19" s="30" t="n"/>
      <c r="F19" s="30" t="inlineStr">
        <is>
          <t>2C</t>
        </is>
      </c>
      <c r="G19" s="30" t="inlineStr">
        <is>
          <t>UNSEL</t>
        </is>
      </c>
      <c r="H19" s="30" t="inlineStr">
        <is>
          <t>4"</t>
        </is>
      </c>
      <c r="I19" s="30" t="inlineStr">
        <is>
          <t>6'</t>
        </is>
      </c>
      <c r="J19" s="30" t="inlineStr">
        <is>
          <t>12'</t>
        </is>
      </c>
      <c r="K19" s="34" t="n">
        <v>380</v>
      </c>
      <c r="L19" s="32" t="n"/>
      <c r="M19" s="33" t="n"/>
      <c r="N19" s="89" t="inlineStr">
        <is>
          <t>8/4 x RandomW x RandomL +3" 2COM OPT Unsel TUL</t>
        </is>
      </c>
      <c r="O19" s="89" t="inlineStr">
        <is>
          <t>16081486320855035</t>
        </is>
      </c>
      <c r="P19" s="90" t="n">
        <v>1</v>
      </c>
    </row>
    <row r="20" ht="40.25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.25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40.25" customHeight="1">
      <c r="A22" s="28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4" t="n"/>
      <c r="L22" s="46" t="n"/>
      <c r="M22" s="33" t="n"/>
    </row>
    <row r="23" ht="40.25" customHeight="1">
      <c r="A23" s="28" t="n"/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4" t="n"/>
      <c r="L23" s="32" t="n"/>
      <c r="M23" s="33" t="n"/>
    </row>
    <row r="24" ht="40.25" customHeight="1">
      <c r="A24" s="28" t="n"/>
      <c r="B24" s="2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4" t="n"/>
      <c r="L24" s="32" t="n"/>
      <c r="M24" s="33" t="n"/>
    </row>
    <row r="25" ht="40.25" customHeight="1">
      <c r="A25" s="28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4" t="n"/>
      <c r="L25" s="32" t="n"/>
      <c r="M25" s="33" t="n"/>
    </row>
    <row r="26" ht="40.2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25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.2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25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.25" customHeight="1" thickBot="1" thickTop="1">
      <c r="A30" s="16" t="inlineStr">
        <is>
          <t>Color Code</t>
        </is>
      </c>
      <c r="B30" s="64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.25" customHeight="1" thickTop="1">
      <c r="A31" s="17">
        <f t="array" ref="A31">IFERROR(_xlfn.UNIQUE(_xlfn._xlws.FILTER(G13:G28,G13:G28&lt;&gt;"")),"")</f>
        <v/>
      </c>
      <c r="B31" s="65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.25" customHeight="1">
      <c r="A32" s="18" t="n"/>
      <c r="B32" s="67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.25" customHeight="1">
      <c r="A33" s="18" t="n"/>
      <c r="B33" s="67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.25" customHeight="1">
      <c r="A34" s="18" t="n"/>
      <c r="B34" s="67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.25" customHeight="1">
      <c r="A35" s="18" t="n"/>
      <c r="B35" s="67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.25" customHeight="1" thickBot="1">
      <c r="A36" s="19" t="n"/>
      <c r="B36" s="69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.25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.25" customHeight="1" thickTop="1">
      <c r="A38" s="97" t="inlineStr">
        <is>
          <t xml:space="preserve">saw 4/4 &amp; 8/4 for 1&amp;btr allowing a few developing whoops 2com ----try to leave 2com on cants 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.25" customHeight="1">
      <c r="A39" s="100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.25" customHeight="1">
      <c r="A40" s="100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.25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.25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.2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64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.2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500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.25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500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.25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450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.25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Random</t>
        </is>
      </c>
      <c r="E47" s="34" t="n">
        <v>450</v>
      </c>
      <c r="F47" s="104" t="n"/>
      <c r="G47" s="101" t="n"/>
      <c r="H47" s="101" t="n"/>
      <c r="I47" s="101" t="n"/>
      <c r="J47" s="101" t="n"/>
      <c r="K47" s="101" t="n"/>
      <c r="L47" s="101" t="n"/>
      <c r="M47" s="102" t="n"/>
    </row>
    <row r="48" ht="40.2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.2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425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.2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.2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.25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.25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.2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64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.25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.25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.25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.25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.2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64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.2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.25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F51:M51"/>
    <mergeCell ref="A40:M40"/>
    <mergeCell ref="E1:I1"/>
    <mergeCell ref="A39:M39"/>
    <mergeCell ref="F45:M45"/>
    <mergeCell ref="B30:M30"/>
    <mergeCell ref="B1:C1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61:M61"/>
    <mergeCell ref="F56:M56"/>
    <mergeCell ref="F43:M43"/>
    <mergeCell ref="G4:H4"/>
    <mergeCell ref="F52:M52"/>
    <mergeCell ref="F48:M48"/>
    <mergeCell ref="A37:M37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2026-07-14T11:22:09Z</dcterms:modified>
  <cp:lastModifiedBy>Bennett Hanke</cp:lastModifiedBy>
  <cp:lastPrinted>2025-12-01T18:46:10Z</cp:lastPrinted>
</cp:coreProperties>
</file>