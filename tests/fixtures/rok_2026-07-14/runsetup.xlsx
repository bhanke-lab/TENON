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TENON/tests/fixtures/rok_2026-07-14/"/>
    </mc:Choice>
  </mc:AlternateContent>
  <xr:revisionPtr revIDLastSave="0" documentId="8_{035BDD94-E31A-42F9-A5C8-B9F02E889818}" xr6:coauthVersionLast="47" xr6:coauthVersionMax="47" xr10:uidLastSave="{00000000-0000-0000-0000-000000000000}"/>
  <bookViews>
    <workbookView xWindow="15" yWindow="735" windowWidth="19185" windowHeight="11265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1" i="1" s="1"/>
  <c r="B36" i="1"/>
  <c r="B32" i="1"/>
  <c r="B34" i="1"/>
  <c r="B35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<sst xmlns="http://schemas.openxmlformats.org/spreadsheetml/2006/main" count="302" uniqueCount="188">
  <si>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</si>
  <si>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</si>
  <si>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</si>
  <si>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</si>
  <si>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</si>
  <si>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</si>
  <si>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</si>
  <si>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</si>
  <si>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</si>
  <si>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</si>
  <si>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</si>
  <si>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</si>
  <si>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</si>
  <si>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</si>
  <si>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</si>
  <si>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</si>
  <si>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</si>
  <si>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</si>
  <si>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</si>
  <si>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</si>
  <si>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</si>
  <si>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</si>
  <si>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</si>
  <si>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</si>
  <si>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</si>
  <si>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</si>
  <si>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</si>
  <si>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</si>
  <si>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</si>
  <si>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</si>
  <si>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</si>
  <si>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</si>
  <si>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</si>
  <si>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</si>
  <si>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</si>
  <si>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</si>
  <si>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</si>
  <si>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</si>
  <si>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</si>
  <si>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</si>
  <si>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</si>
  <si>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</si>
  <si>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</si>
  <si>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</si>
  <si>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</si>
  <si>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</si>
  <si>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</si>
  <si>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</si>
  <si>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</si>
  <si>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</si>
  <si>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</si>
  <si>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</si>
  <si>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</si>
  <si>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</si>
  <si>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</si>
  <si>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</si>
  <si>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</si>
  <si>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</si>
  <si>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</si>
  <si>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</si>
  <si>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</si>
  <si>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</si>
  <si>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</si>
  <si>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</si>
  <si>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</si>
  <si>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</si>
  <si>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</si>
  <si>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</si>
  <si>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</si>
  <si>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</si>
  <si>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</si>
  <si>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</si>
  <si>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</si>
  <si>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</si>
  <si>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</si>
  <si>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</si>
  <si>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</si>
  <si>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</si>
  <si>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</si>
  <si>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</si>
  <si>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</si>
  <si>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</si>
  <si>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</si>
  <si>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</si>
  <si>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</si>
  <si>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</si>
  <si>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</si>
  <si>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</si>
  <si>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</si>
  <si>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</si>
  <si>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</si>
  <si>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</si>
  <si>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</si>
  <si>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</si>
  <si>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</si>
  <si>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</si>
  <si>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</si>
  <si>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</si>
  <si>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</si>
  <si>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</si>
  <si>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</si>
  <si>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</si>
  <si>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</si>
  <si>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</si>
  <si>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</si>
  <si>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</si>
  <si>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</si>
  <si>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</si>
  <si>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</si>
  <si>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</si>
  <si>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</si>
  <si>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</si>
  <si>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</si>
  <si>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</si>
  <si>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</si>
  <si>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</si>
  <si>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</si>
  <si>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</si>
  <si>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</si>
  <si>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</si>
  <si>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</si>
  <si>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</si>
  <si>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</si>
  <si>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</si>
  <si>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</si>
  <si>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</si>
  <si>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</si>
  <si>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</si>
  <si>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</si>
  <si>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</si>
  <si>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</si>
  <si>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</si>
  <si>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</si>
  <si>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</si>
  <si>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</si>
  <si>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</si>
  <si>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</si>
  <si>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</si>
  <si>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</si>
  <si>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</si>
  <si>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</si>
  <si>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</si>
  <si>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</si>
  <si>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</si>
  <si>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</si>
  <si>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</si>
  <si>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</si>
  <si>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</si>
  <si>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</si>
  <si>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</si>
  <si>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</si>
  <si>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</si>
  <si>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</si>
  <si>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</si>
  <si>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</si>
  <si>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</si>
  <si>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</si>
  <si>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</si>
  <si>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</si>
  <si>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</si>
  <si>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</si>
  <si>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</si>
  <si>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</si>
  <si>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</si>
  <si>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</si>
  <si>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</si>
  <si>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</si>
  <si>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</si>
  <si>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</si>
  <si>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</si>
  <si>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</si>
  <si>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</si>
  <si>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</si>
  <si>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</si>
  <si>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Rockland</t>
  </si>
  <si>
    <t>NO</t>
  </si>
  <si>
    <t xml:space="preserve">all 3b --all sound pallet--sap stain 1&amp;2 here </t>
  </si>
  <si>
    <t xml:space="preserve">See additional notes </t>
  </si>
  <si>
    <t xml:space="preserve">Nsel 4'' to 5.5''   7' to 12' </t>
  </si>
  <si>
    <t>Ow kilns</t>
  </si>
  <si>
    <t>Boa Franc</t>
  </si>
  <si>
    <t xml:space="preserve">$750/650 will allow 20% 3com </t>
  </si>
  <si>
    <t xml:space="preserve">see additioal notes on the Boa Franc loads </t>
  </si>
  <si>
    <t>Ow Kilns</t>
  </si>
  <si>
    <t>Ow lilns</t>
  </si>
  <si>
    <t xml:space="preserve">6/4 Sap spec----coverging sap ok just don’t want 50% of face sappy  ------ ######  once we hit 100/m total of 6/4 for Ow kilns will take off the cut then add on 8/4 for Cay  ###### </t>
  </si>
  <si>
    <t xml:space="preserve">Boa-Franc  need three 11000' loads of 1com &amp; four loads of 2&amp;3com then rest to Ow kilns </t>
  </si>
  <si>
    <t xml:space="preserve">need to make more 3.5xRs than 4xRs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</si>
</sst>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B55" zoomScale="80" zoomScaleNormal="80" zoomScaleSheetLayoutView="70" workbookViewId="0">
      <selection activeCell="E60" sqref="E60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68">
        <v>46217</v>
      </c>
      <c r="C1" s="69"/>
      <c r="E1" s="53" t="s">
        <v>116</v>
      </c>
      <c r="F1" s="54"/>
      <c r="G1" s="54"/>
      <c r="H1" s="54"/>
      <c r="I1" s="55"/>
    </row>
    <row r="2" spans="1:13" ht="19.5" customHeight="1" thickTop="1" thickBot="1" x14ac:dyDescent="0.55000000000000004">
      <c r="A2" s="4" t="s">
        <v>114</v>
      </c>
      <c r="B2" s="70">
        <v>350</v>
      </c>
      <c r="C2" s="69"/>
      <c r="E2" s="73" t="s">
        <v>128</v>
      </c>
      <c r="F2" s="74"/>
      <c r="G2" s="74"/>
      <c r="H2" s="74"/>
      <c r="I2" s="75"/>
    </row>
    <row r="3" spans="1:13" ht="22" thickTop="1" thickBot="1" x14ac:dyDescent="0.55000000000000004"/>
    <row r="4" spans="1:13" ht="21.5" thickBot="1" x14ac:dyDescent="0.55000000000000004">
      <c r="A4" s="71" t="s">
        <v>7</v>
      </c>
      <c r="B4" s="72"/>
      <c r="D4" s="71" t="s">
        <v>118</v>
      </c>
      <c r="E4" s="72"/>
      <c r="G4" s="71" t="s">
        <v>117</v>
      </c>
      <c r="H4" s="72"/>
    </row>
    <row r="5" spans="1:13" ht="21.5" thickBot="1" x14ac:dyDescent="0.55000000000000004">
      <c r="A5" s="7" t="s">
        <v>1</v>
      </c>
      <c r="B5" s="20">
        <v>0.84</v>
      </c>
      <c r="D5" s="7" t="s">
        <v>137</v>
      </c>
      <c r="E5" s="20">
        <v>0.5</v>
      </c>
      <c r="G5" s="8" t="str" cm="1">
        <f t="array" ref="G5:G6">IFERROR(_xlfn.UNIQUE(_xlfn._xlws.FILTER(B13:B28,B13:B28&lt;&gt;"")),"")</f>
        <v>4/4</v>
      </c>
      <c r="H5" s="21">
        <v>0.7</v>
      </c>
    </row>
    <row r="6" spans="1:13" ht="21.5" thickBot="1" x14ac:dyDescent="0.55000000000000004">
      <c r="A6" s="7" t="s">
        <v>8</v>
      </c>
      <c r="B6" s="20">
        <v>0.14000000000000001</v>
      </c>
      <c r="D6" s="7" t="s">
        <v>138</v>
      </c>
      <c r="E6" s="20">
        <v>0.25</v>
      </c>
      <c r="G6" s="8" t="str">
        <v>6/4</v>
      </c>
      <c r="H6" s="21">
        <v>0.3</v>
      </c>
    </row>
    <row r="7" spans="1:13" ht="21.5" thickBot="1" x14ac:dyDescent="0.55000000000000004">
      <c r="A7" s="7" t="s">
        <v>9</v>
      </c>
      <c r="B7" s="20">
        <v>0.02</v>
      </c>
      <c r="D7" s="7" t="s">
        <v>139</v>
      </c>
      <c r="E7" s="20">
        <v>0.25</v>
      </c>
      <c r="F7" s="9"/>
      <c r="G7" s="8"/>
      <c r="H7" s="21"/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.25" customHeight="1" thickTop="1" thickBot="1" x14ac:dyDescent="0.55000000000000004">
      <c r="A11" s="53" t="s">
        <v>1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5"/>
    </row>
    <row r="12" spans="1:13" ht="40.25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25" customHeight="1" thickTop="1" x14ac:dyDescent="0.5">
      <c r="A13" s="22" t="s">
        <v>184</v>
      </c>
      <c r="B13" s="23" t="s">
        <v>10</v>
      </c>
      <c r="C13" s="24">
        <v>3</v>
      </c>
      <c r="D13" s="24" t="s">
        <v>173</v>
      </c>
      <c r="E13" s="24" t="s">
        <v>21</v>
      </c>
      <c r="F13" s="24" t="s">
        <v>40</v>
      </c>
      <c r="G13" s="24" t="s">
        <v>50</v>
      </c>
      <c r="H13" s="24" t="s">
        <v>164</v>
      </c>
      <c r="I13" s="24" t="s">
        <v>82</v>
      </c>
      <c r="J13" s="24" t="s">
        <v>87</v>
      </c>
      <c r="K13" s="25">
        <v>1200</v>
      </c>
      <c r="L13" s="26"/>
      <c r="M13" s="27">
        <v>0.7</v>
      </c>
    </row>
    <row r="14" spans="1:13" ht="40.25" customHeight="1" x14ac:dyDescent="0.5">
      <c r="A14" s="28" t="s">
        <v>179</v>
      </c>
      <c r="B14" s="29" t="s">
        <v>10</v>
      </c>
      <c r="C14" s="30">
        <v>3</v>
      </c>
      <c r="D14" s="30" t="s">
        <v>173</v>
      </c>
      <c r="E14" s="30" t="s">
        <v>22</v>
      </c>
      <c r="F14" s="30" t="s">
        <v>41</v>
      </c>
      <c r="G14" s="30" t="s">
        <v>50</v>
      </c>
      <c r="H14" s="30" t="s">
        <v>68</v>
      </c>
      <c r="I14" s="30" t="s">
        <v>81</v>
      </c>
      <c r="J14" s="30" t="s">
        <v>87</v>
      </c>
      <c r="K14" s="31">
        <v>950</v>
      </c>
      <c r="L14" s="32" t="s">
        <v>178</v>
      </c>
      <c r="M14" s="33"/>
    </row>
    <row r="15" spans="1:13" ht="40.25" customHeight="1" x14ac:dyDescent="0.5">
      <c r="A15" s="28" t="s">
        <v>180</v>
      </c>
      <c r="B15" s="29" t="s">
        <v>10</v>
      </c>
      <c r="C15" s="30">
        <v>3</v>
      </c>
      <c r="D15" s="30" t="s">
        <v>175</v>
      </c>
      <c r="E15" s="30" t="s">
        <v>24</v>
      </c>
      <c r="F15" s="30" t="s">
        <v>42</v>
      </c>
      <c r="G15" s="30" t="s">
        <v>50</v>
      </c>
      <c r="H15" s="30" t="s">
        <v>67</v>
      </c>
      <c r="I15" s="30" t="s">
        <v>81</v>
      </c>
      <c r="J15" s="30" t="s">
        <v>87</v>
      </c>
      <c r="K15" s="31">
        <v>850</v>
      </c>
      <c r="L15" s="32"/>
      <c r="M15" s="33"/>
    </row>
    <row r="16" spans="1:13" ht="40.25" customHeight="1" x14ac:dyDescent="0.5">
      <c r="A16" s="28" t="s">
        <v>180</v>
      </c>
      <c r="B16" s="29" t="s">
        <v>10</v>
      </c>
      <c r="C16" s="30">
        <v>3</v>
      </c>
      <c r="D16" s="30" t="s">
        <v>175</v>
      </c>
      <c r="E16" s="30" t="s">
        <v>26</v>
      </c>
      <c r="F16" s="30"/>
      <c r="G16" s="30" t="s">
        <v>50</v>
      </c>
      <c r="H16" s="30" t="s">
        <v>67</v>
      </c>
      <c r="I16" s="30" t="s">
        <v>81</v>
      </c>
      <c r="J16" s="30" t="s">
        <v>87</v>
      </c>
      <c r="K16" s="31"/>
      <c r="L16" s="32" t="s">
        <v>181</v>
      </c>
      <c r="M16" s="33"/>
    </row>
    <row r="17" spans="1:13" ht="40.25" customHeight="1" x14ac:dyDescent="0.5">
      <c r="A17" s="28"/>
      <c r="B17" s="29"/>
      <c r="C17" s="30"/>
      <c r="D17" s="30"/>
      <c r="E17" s="30"/>
      <c r="F17" s="30"/>
      <c r="G17" s="30"/>
      <c r="H17" s="30"/>
      <c r="I17" s="30"/>
      <c r="J17" s="30"/>
      <c r="K17" s="34"/>
      <c r="L17" s="32" t="s">
        <v>182</v>
      </c>
      <c r="M17" s="33"/>
    </row>
    <row r="18" spans="1:13" ht="40.25" customHeight="1" x14ac:dyDescent="0.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/>
    </row>
    <row r="19" spans="1:13" ht="40.25" customHeight="1" x14ac:dyDescent="0.5">
      <c r="A19" s="28" t="s">
        <v>174</v>
      </c>
      <c r="B19" s="29" t="s">
        <v>10</v>
      </c>
      <c r="C19" s="30">
        <v>3</v>
      </c>
      <c r="D19" s="30" t="s">
        <v>175</v>
      </c>
      <c r="E19" s="30" t="s">
        <v>92</v>
      </c>
      <c r="F19" s="30" t="s">
        <v>45</v>
      </c>
      <c r="G19" s="30" t="s">
        <v>50</v>
      </c>
      <c r="H19" s="30" t="s">
        <v>67</v>
      </c>
      <c r="I19" s="30" t="s">
        <v>81</v>
      </c>
      <c r="J19" s="30" t="s">
        <v>87</v>
      </c>
      <c r="K19" s="31">
        <v>300</v>
      </c>
      <c r="L19" s="32" t="s">
        <v>176</v>
      </c>
      <c r="M19" s="33"/>
    </row>
    <row r="20" spans="1:13" ht="40.25" customHeight="1" x14ac:dyDescent="0.5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1"/>
      <c r="L20" s="32"/>
      <c r="M20" s="33"/>
    </row>
    <row r="21" spans="1:13" ht="40.25" customHeight="1" x14ac:dyDescent="0.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.25" customHeight="1" x14ac:dyDescent="0.5">
      <c r="A22" s="28" t="s">
        <v>183</v>
      </c>
      <c r="B22" s="29" t="s">
        <v>12</v>
      </c>
      <c r="C22" s="30">
        <v>3</v>
      </c>
      <c r="D22" s="30" t="s">
        <v>173</v>
      </c>
      <c r="E22" s="30" t="s">
        <v>21</v>
      </c>
      <c r="F22" s="30" t="s">
        <v>40</v>
      </c>
      <c r="G22" s="30" t="s">
        <v>50</v>
      </c>
      <c r="H22" s="30" t="s">
        <v>69</v>
      </c>
      <c r="I22" s="30" t="s">
        <v>81</v>
      </c>
      <c r="J22" s="30" t="s">
        <v>87</v>
      </c>
      <c r="K22" s="31">
        <v>1240</v>
      </c>
      <c r="L22" s="46" t="s">
        <v>177</v>
      </c>
      <c r="M22" s="33">
        <v>0.3</v>
      </c>
    </row>
    <row r="23" spans="1:13" ht="40.25" customHeight="1" x14ac:dyDescent="0.5">
      <c r="A23" s="28" t="s">
        <v>179</v>
      </c>
      <c r="B23" s="29" t="s">
        <v>12</v>
      </c>
      <c r="C23" s="30">
        <v>3</v>
      </c>
      <c r="D23" s="30" t="s">
        <v>173</v>
      </c>
      <c r="E23" s="30" t="s">
        <v>24</v>
      </c>
      <c r="F23" s="30" t="s">
        <v>42</v>
      </c>
      <c r="G23" s="30" t="s">
        <v>50</v>
      </c>
      <c r="H23" s="30" t="s">
        <v>68</v>
      </c>
      <c r="I23" s="30" t="s">
        <v>81</v>
      </c>
      <c r="J23" s="30" t="s">
        <v>87</v>
      </c>
      <c r="K23" s="31">
        <v>825</v>
      </c>
      <c r="L23" s="32"/>
      <c r="M23" s="33"/>
    </row>
    <row r="24" spans="1:13" ht="40.25" customHeight="1" x14ac:dyDescent="0.5">
      <c r="A24" s="28" t="s">
        <v>183</v>
      </c>
      <c r="B24" s="29" t="s">
        <v>12</v>
      </c>
      <c r="C24" s="30">
        <v>3</v>
      </c>
      <c r="D24" s="30" t="s">
        <v>173</v>
      </c>
      <c r="E24" s="30" t="s">
        <v>25</v>
      </c>
      <c r="F24" s="30" t="s">
        <v>43</v>
      </c>
      <c r="G24" s="30" t="s">
        <v>50</v>
      </c>
      <c r="H24" s="30" t="s">
        <v>68</v>
      </c>
      <c r="I24" s="30" t="s">
        <v>81</v>
      </c>
      <c r="J24" s="30" t="s">
        <v>87</v>
      </c>
      <c r="K24" s="31">
        <v>475</v>
      </c>
      <c r="L24" s="32"/>
      <c r="M24" s="33"/>
    </row>
    <row r="25" spans="1:13" ht="40.25" customHeight="1" x14ac:dyDescent="0.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25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25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25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25" customHeight="1" thickTop="1" thickBot="1" x14ac:dyDescent="0.55000000000000004">
      <c r="A29" s="53" t="s">
        <v>156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5"/>
    </row>
    <row r="30" spans="1:13" ht="40.25" customHeight="1" thickTop="1" thickBot="1" x14ac:dyDescent="0.5">
      <c r="A30" s="16" t="s">
        <v>157</v>
      </c>
      <c r="B30" s="76" t="s">
        <v>158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</row>
    <row r="31" spans="1:13" ht="40.25" customHeight="1" thickTop="1" x14ac:dyDescent="0.45">
      <c r="A31" s="17" t="str" cm="1">
        <f t="array" ref="A31">IFERROR(_xlfn.UNIQUE(_xlfn._xlws.FILTER(G13:G28,G13:G28&lt;&gt;"")),"")</f>
        <v>UNSEL</v>
      </c>
      <c r="B31" s="77" t="str">
        <f>IF(A31&lt;&gt;"",_xlfn.XLOOKUP(A31,Colors[Colors],Colors[Description],"",0),"")</f>
        <v>Unselected - No color specifications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8"/>
    </row>
    <row r="32" spans="1:13" ht="40.25" customHeight="1" x14ac:dyDescent="0.45">
      <c r="A32" s="18"/>
      <c r="B32" s="62" t="str">
        <f>IF(A32&lt;&gt;"",_xlfn.XLOOKUP(A32,Colors[Colors],Colors[Description],"",0),"")</f>
        <v/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3"/>
    </row>
    <row r="33" spans="1:13" ht="40.25" customHeight="1" x14ac:dyDescent="0.45">
      <c r="A33" s="18"/>
      <c r="B33" s="62" t="str">
        <f>IF(A33&lt;&gt;"",_xlfn.XLOOKUP(A33,Colors[Colors],Colors[Description],"",0),"")</f>
        <v/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3"/>
    </row>
    <row r="34" spans="1:13" ht="40.25" customHeight="1" x14ac:dyDescent="0.45">
      <c r="A34" s="18"/>
      <c r="B34" s="62" t="str">
        <f>IF(A34&lt;&gt;"",_xlfn.XLOOKUP(A34,Colors[Colors],Colors[Description],"",0),"")</f>
        <v/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3"/>
    </row>
    <row r="35" spans="1:13" ht="40.25" customHeight="1" x14ac:dyDescent="0.45">
      <c r="A35" s="18"/>
      <c r="B35" s="62" t="str">
        <f>IF(A35&lt;&gt;"",_xlfn.XLOOKUP(A35,Colors[Colors],Colors[Description],"",0),"")</f>
        <v/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3"/>
    </row>
    <row r="36" spans="1:13" ht="40.25" customHeight="1" thickBot="1" x14ac:dyDescent="0.5">
      <c r="A36" s="19"/>
      <c r="B36" s="64" t="str">
        <f>IF(A36&lt;&gt;"",_xlfn.XLOOKUP(A36,Colors[Colors],Colors[Description],"",0),"")</f>
        <v/>
      </c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5"/>
    </row>
    <row r="37" spans="1:13" ht="40.25" customHeight="1" thickTop="1" thickBot="1" x14ac:dyDescent="0.55000000000000004">
      <c r="A37" s="53" t="s">
        <v>141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5"/>
    </row>
    <row r="38" spans="1:13" ht="40.25" customHeight="1" thickTop="1" x14ac:dyDescent="0.45">
      <c r="A38" s="66" t="s">
        <v>185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</row>
    <row r="39" spans="1:13" ht="40.25" customHeight="1" x14ac:dyDescent="0.45">
      <c r="A39" s="67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2"/>
    </row>
    <row r="40" spans="1:13" ht="40.25" customHeight="1" x14ac:dyDescent="0.45">
      <c r="A40" s="67" t="s">
        <v>186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2"/>
    </row>
    <row r="41" spans="1:13" ht="40.25" customHeight="1" thickBot="1" x14ac:dyDescent="0.5">
      <c r="A41" s="67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2"/>
    </row>
    <row r="42" spans="1:13" ht="40.25" customHeight="1" thickTop="1" thickBot="1" x14ac:dyDescent="0.55000000000000004">
      <c r="A42" s="53" t="s">
        <v>8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5"/>
    </row>
    <row r="43" spans="1:13" ht="40.25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6" t="s">
        <v>6</v>
      </c>
      <c r="G43" s="57"/>
      <c r="H43" s="57"/>
      <c r="I43" s="57"/>
      <c r="J43" s="57"/>
      <c r="K43" s="57"/>
      <c r="L43" s="57"/>
      <c r="M43" s="58"/>
    </row>
    <row r="44" spans="1:13" ht="40.25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525</v>
      </c>
      <c r="F44" s="59"/>
      <c r="G44" s="60"/>
      <c r="H44" s="60"/>
      <c r="I44" s="60"/>
      <c r="J44" s="60"/>
      <c r="K44" s="60"/>
      <c r="L44" s="60"/>
      <c r="M44" s="61"/>
    </row>
    <row r="45" spans="1:13" ht="40.25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525</v>
      </c>
      <c r="F45" s="50"/>
      <c r="G45" s="51"/>
      <c r="H45" s="51"/>
      <c r="I45" s="51"/>
      <c r="J45" s="51"/>
      <c r="K45" s="51"/>
      <c r="L45" s="51"/>
      <c r="M45" s="52"/>
    </row>
    <row r="46" spans="1:13" ht="40.25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475</v>
      </c>
      <c r="F46" s="50"/>
      <c r="G46" s="51"/>
      <c r="H46" s="51"/>
      <c r="I46" s="51"/>
      <c r="J46" s="51"/>
      <c r="K46" s="51"/>
      <c r="L46" s="51"/>
      <c r="M46" s="52"/>
    </row>
    <row r="47" spans="1:13" ht="40.25" customHeight="1" x14ac:dyDescent="0.45">
      <c r="A47" s="44"/>
      <c r="B47" s="30" t="s">
        <v>133</v>
      </c>
      <c r="C47" s="30">
        <v>3</v>
      </c>
      <c r="D47" s="30" t="s">
        <v>97</v>
      </c>
      <c r="E47" s="31">
        <v>475</v>
      </c>
      <c r="F47" s="50" t="s">
        <v>187</v>
      </c>
      <c r="G47" s="51"/>
      <c r="H47" s="51"/>
      <c r="I47" s="51"/>
      <c r="J47" s="51"/>
      <c r="K47" s="51"/>
      <c r="L47" s="51"/>
      <c r="M47" s="52"/>
    </row>
    <row r="48" spans="1:13" ht="40.25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475</v>
      </c>
      <c r="F48" s="50"/>
      <c r="G48" s="51"/>
      <c r="H48" s="51"/>
      <c r="I48" s="51"/>
      <c r="J48" s="51"/>
      <c r="K48" s="51"/>
      <c r="L48" s="51"/>
      <c r="M48" s="52"/>
    </row>
    <row r="49" spans="1:13" ht="40.25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475</v>
      </c>
      <c r="F49" s="50"/>
      <c r="G49" s="51"/>
      <c r="H49" s="51"/>
      <c r="I49" s="51"/>
      <c r="J49" s="51"/>
      <c r="K49" s="51"/>
      <c r="L49" s="51"/>
      <c r="M49" s="52"/>
    </row>
    <row r="50" spans="1:13" ht="40.25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475</v>
      </c>
      <c r="F50" s="50"/>
      <c r="G50" s="51"/>
      <c r="H50" s="51"/>
      <c r="I50" s="51"/>
      <c r="J50" s="51"/>
      <c r="K50" s="51"/>
      <c r="L50" s="51"/>
      <c r="M50" s="52"/>
    </row>
    <row r="51" spans="1:13" ht="40.25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450</v>
      </c>
      <c r="F51" s="50" t="s">
        <v>170</v>
      </c>
      <c r="G51" s="51"/>
      <c r="H51" s="51"/>
      <c r="I51" s="51"/>
      <c r="J51" s="51"/>
      <c r="K51" s="51"/>
      <c r="L51" s="51"/>
      <c r="M51" s="52"/>
    </row>
    <row r="52" spans="1:13" ht="40.25" customHeight="1" thickBot="1" x14ac:dyDescent="0.5">
      <c r="A52" s="45"/>
      <c r="B52" s="37"/>
      <c r="C52" s="37"/>
      <c r="D52" s="37"/>
      <c r="E52" s="38"/>
      <c r="F52" s="47"/>
      <c r="G52" s="48"/>
      <c r="H52" s="48"/>
      <c r="I52" s="48"/>
      <c r="J52" s="48"/>
      <c r="K52" s="48"/>
      <c r="L52" s="48"/>
      <c r="M52" s="49"/>
    </row>
    <row r="53" spans="1:13" ht="40.25" customHeight="1" thickTop="1" thickBot="1" x14ac:dyDescent="0.55000000000000004">
      <c r="A53" s="53" t="s">
        <v>9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5"/>
    </row>
    <row r="54" spans="1:13" ht="40.25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6" t="s">
        <v>6</v>
      </c>
      <c r="G54" s="57"/>
      <c r="H54" s="57"/>
      <c r="I54" s="57"/>
      <c r="J54" s="57"/>
      <c r="K54" s="57"/>
      <c r="L54" s="57"/>
      <c r="M54" s="58"/>
    </row>
    <row r="55" spans="1:13" ht="40.25" customHeight="1" thickTop="1" x14ac:dyDescent="0.45">
      <c r="A55" s="41"/>
      <c r="B55" s="42"/>
      <c r="C55" s="42"/>
      <c r="D55" s="42"/>
      <c r="E55" s="43"/>
      <c r="F55" s="59"/>
      <c r="G55" s="60"/>
      <c r="H55" s="60"/>
      <c r="I55" s="60"/>
      <c r="J55" s="60"/>
      <c r="K55" s="60"/>
      <c r="L55" s="60"/>
      <c r="M55" s="61"/>
    </row>
    <row r="56" spans="1:13" ht="40.25" customHeight="1" x14ac:dyDescent="0.45">
      <c r="A56" s="44"/>
      <c r="B56" s="30"/>
      <c r="C56" s="30"/>
      <c r="D56" s="30"/>
      <c r="E56" s="31"/>
      <c r="F56" s="50"/>
      <c r="G56" s="51"/>
      <c r="H56" s="51"/>
      <c r="I56" s="51"/>
      <c r="J56" s="51"/>
      <c r="K56" s="51"/>
      <c r="L56" s="51"/>
      <c r="M56" s="52"/>
    </row>
    <row r="57" spans="1:13" ht="40.25" customHeight="1" thickBot="1" x14ac:dyDescent="0.5">
      <c r="A57" s="44"/>
      <c r="B57" s="30"/>
      <c r="C57" s="30"/>
      <c r="D57" s="30"/>
      <c r="E57" s="31"/>
      <c r="F57" s="47"/>
      <c r="G57" s="48"/>
      <c r="H57" s="48"/>
      <c r="I57" s="48"/>
      <c r="J57" s="48"/>
      <c r="K57" s="48"/>
      <c r="L57" s="48"/>
      <c r="M57" s="49"/>
    </row>
    <row r="58" spans="1:13" ht="40.25" customHeight="1" thickTop="1" thickBot="1" x14ac:dyDescent="0.55000000000000004">
      <c r="A58" s="53" t="s">
        <v>19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5"/>
    </row>
    <row r="59" spans="1:13" ht="40.25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6" t="s">
        <v>6</v>
      </c>
      <c r="G59" s="57"/>
      <c r="H59" s="57"/>
      <c r="I59" s="57"/>
      <c r="J59" s="57"/>
      <c r="K59" s="57"/>
      <c r="L59" s="57"/>
      <c r="M59" s="58"/>
    </row>
    <row r="60" spans="1:13" ht="40.25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275</v>
      </c>
      <c r="F60" s="59"/>
      <c r="G60" s="60"/>
      <c r="H60" s="60"/>
      <c r="I60" s="60"/>
      <c r="J60" s="60"/>
      <c r="K60" s="60"/>
      <c r="L60" s="60"/>
      <c r="M60" s="61"/>
    </row>
    <row r="61" spans="1:13" ht="40.25" customHeight="1" thickBot="1" x14ac:dyDescent="0.5">
      <c r="A61" s="45"/>
      <c r="B61" s="37"/>
      <c r="C61" s="37"/>
      <c r="D61" s="37"/>
      <c r="E61" s="38"/>
      <c r="F61" s="47"/>
      <c r="G61" s="48"/>
      <c r="H61" s="48"/>
      <c r="I61" s="48"/>
      <c r="J61" s="48"/>
      <c r="K61" s="48"/>
      <c r="L61" s="48"/>
      <c r="M61" s="49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2026-07-15T11:16:12Z</dcterms:modified>
</cp:coreProperties>
</file>