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50" yWindow="790" windowWidth="19200" windowHeight="11170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7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44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45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zoomScale="80" zoomScaleNormal="80" zoomScaleSheetLayoutView="70" workbookViewId="0">
      <selection activeCell="M13" sqref="M13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4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46209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48" t="n">
        <v>400</v>
      </c>
      <c r="C2" s="80" t="n"/>
      <c r="E2" s="84" t="inlineStr">
        <is>
          <t>Soft Maple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0.72</v>
      </c>
      <c r="D5" s="7" t="inlineStr">
        <is>
          <t>PRIME</t>
        </is>
      </c>
      <c r="E5" s="20" t="n">
        <v>0.5</v>
      </c>
      <c r="G5" s="8">
        <f t="array" ref="G5:G7">IFERROR(_xlfn.UNIQUE(_xlfn._xlws.FILTER(B13:B28,B13:B28&lt;&gt;"")),"")</f>
        <v/>
      </c>
      <c r="H5" s="21" t="n">
        <v>0.5</v>
      </c>
    </row>
    <row r="6" ht="21.5" customHeight="1" thickBot="1">
      <c r="A6" s="7" t="inlineStr">
        <is>
          <t>Cants</t>
        </is>
      </c>
      <c r="B6" s="20" t="n">
        <v>0.25</v>
      </c>
      <c r="D6" s="7" t="inlineStr">
        <is>
          <t>1COM</t>
        </is>
      </c>
      <c r="E6" s="20" t="n">
        <v>0.3</v>
      </c>
      <c r="G6" s="8" t="inlineStr">
        <is>
          <t>6/4</t>
        </is>
      </c>
      <c r="H6" s="21" t="n">
        <v>0.25</v>
      </c>
    </row>
    <row r="7" ht="21.5" customHeight="1" thickBot="1">
      <c r="A7" s="7" t="inlineStr">
        <is>
          <t>Ties</t>
        </is>
      </c>
      <c r="B7" s="20" t="n">
        <v>0.03</v>
      </c>
      <c r="D7" s="7" t="inlineStr">
        <is>
          <t>2COM</t>
        </is>
      </c>
      <c r="E7" s="20" t="n">
        <v>0.2</v>
      </c>
      <c r="F7" s="9" t="n"/>
      <c r="G7" s="8" t="inlineStr">
        <is>
          <t>8/4</t>
        </is>
      </c>
      <c r="H7" s="21" t="n">
        <v>0.25</v>
      </c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153" customHeight="1" thickTop="1">
      <c r="A13" s="22" t="inlineStr">
        <is>
          <t>Smyrna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1905</v>
      </c>
      <c r="L13" s="26" t="n"/>
      <c r="M13" s="27" t="n">
        <v>0.5</v>
      </c>
      <c r="N13" s="89" t="inlineStr">
        <is>
          <t>4/4 x RandomW x RandomL +3" 1COM OPT Unsel SMA
4/4 x RandomW x RandomL +3" 2COM OPT Unsel SMA
4/4 x RandomW x RandomL +3" 3ACOM OPT SAP SMA
4/4 x RandomW x RandomL +3" 3ACOM OPT Unsel SMA
4/4 x RandomW x Sel 6 SEL SAP OPT SAP SMA
4/4 x Rw &gt; 5 x RandomL +3" FASS OPT SAP SMA
4/4 x Rw SEL x RandomL +3" SEL SAP OPT SAP SMA</t>
        </is>
      </c>
      <c r="O13" s="89" t="inlineStr">
        <is>
          <t>17376334617550460
16159094893844355
16129045062061503
16129045062061505
16129045062061513
16129045062061519
16129045062061515</t>
        </is>
      </c>
      <c r="P13" s="90" t="n">
        <v>7</v>
      </c>
    </row>
    <row r="14" ht="40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SAP+BTR</t>
        </is>
      </c>
      <c r="H14" s="30" t="inlineStr">
        <is>
          <t>3"</t>
        </is>
      </c>
      <c r="I14" s="30" t="inlineStr">
        <is>
          <t>6'</t>
        </is>
      </c>
      <c r="J14" s="30" t="inlineStr">
        <is>
          <t>12'</t>
        </is>
      </c>
      <c r="K14" s="34" t="n">
        <v>905</v>
      </c>
      <c r="L14" s="32" t="inlineStr">
        <is>
          <t>must be sap&amp;btr</t>
        </is>
      </c>
      <c r="M14" s="33" t="n"/>
      <c r="N14" s="89" t="inlineStr">
        <is>
          <t>4/4 x RandomW x RandomL +3" 1COM SAP OPT SAP SMA</t>
        </is>
      </c>
      <c r="O14" s="89" t="inlineStr">
        <is>
          <t>16129045062061511</t>
        </is>
      </c>
      <c r="P14" s="90" t="n">
        <v>1</v>
      </c>
    </row>
    <row r="15" ht="40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SAP+BTR</t>
        </is>
      </c>
      <c r="H15" s="30" t="inlineStr">
        <is>
          <t>3"</t>
        </is>
      </c>
      <c r="I15" s="30" t="inlineStr">
        <is>
          <t>6'</t>
        </is>
      </c>
      <c r="J15" s="30" t="inlineStr">
        <is>
          <t>12'</t>
        </is>
      </c>
      <c r="K15" s="34" t="n">
        <v>455</v>
      </c>
      <c r="L15" s="32" t="inlineStr">
        <is>
          <t>must be sap&amp;btr</t>
        </is>
      </c>
      <c r="M15" s="33" t="n"/>
      <c r="N15" s="89" t="inlineStr">
        <is>
          <t>4/4 x RandomW x RandomL +3" 2COM SAP OPT SAP SMA</t>
        </is>
      </c>
      <c r="O15" s="89" t="inlineStr">
        <is>
          <t>16129045062061507</t>
        </is>
      </c>
      <c r="P15" s="90" t="n">
        <v>1</v>
      </c>
    </row>
    <row r="16" ht="90" customHeight="1">
      <c r="A16" s="28" t="inlineStr">
        <is>
          <t>Prolam</t>
        </is>
      </c>
      <c r="B16" s="29" t="inlineStr">
        <is>
          <t>4/4</t>
        </is>
      </c>
      <c r="C16" s="30" t="n">
        <v>3</v>
      </c>
      <c r="D16" s="30" t="inlineStr">
        <is>
          <t>NO</t>
        </is>
      </c>
      <c r="E16" s="30" t="inlineStr">
        <is>
          <t>Sub Grade</t>
        </is>
      </c>
      <c r="F16" s="30" t="inlineStr">
        <is>
          <t>SG</t>
        </is>
      </c>
      <c r="G16" s="30" t="inlineStr">
        <is>
          <t>UNSEL</t>
        </is>
      </c>
      <c r="H16" s="30" t="inlineStr">
        <is>
          <t>3"</t>
        </is>
      </c>
      <c r="I16" s="30" t="inlineStr">
        <is>
          <t>6'</t>
        </is>
      </c>
      <c r="J16" s="30" t="inlineStr">
        <is>
          <t>12'</t>
        </is>
      </c>
      <c r="K16" s="34" t="n">
        <v>300</v>
      </c>
      <c r="L16" s="32" t="inlineStr">
        <is>
          <t xml:space="preserve">all 3b--all sound pallet--all brown 1&amp;2com here </t>
        </is>
      </c>
      <c r="M16" s="33" t="n"/>
      <c r="N16" s="89" t="inlineStr">
        <is>
          <t>4/4 x RandomW x RandomL +3" 1COMB OPT Unsel SMA
4/4 x RandomW x RandomL +3" 3B OPT ? SMA
4/4 x RandomW x RandomL +3" SUBG OPT ? SMA
4/4 x RandomW x RandomL +3" WORMY ? SMA</t>
        </is>
      </c>
      <c r="O16" s="89" t="inlineStr">
        <is>
          <t>16129045062061509
16129045062061501
16129045062061499
16879039249336540</t>
        </is>
      </c>
      <c r="P16" s="90" t="n">
        <v>4</v>
      </c>
    </row>
    <row r="17" ht="40" customHeight="1">
      <c r="A17" s="28" t="inlineStr">
        <is>
          <t>Helmer</t>
        </is>
      </c>
      <c r="B17" s="29" t="inlineStr">
        <is>
          <t>4/4</t>
        </is>
      </c>
      <c r="C17" s="30" t="n">
        <v>3</v>
      </c>
      <c r="D17" s="30" t="inlineStr">
        <is>
          <t>NO</t>
        </is>
      </c>
      <c r="E17" s="30" t="inlineStr">
        <is>
          <t>1-2 Common</t>
        </is>
      </c>
      <c r="F17" s="30" t="n"/>
      <c r="G17" s="30" t="inlineStr">
        <is>
          <t>SAP+BTR</t>
        </is>
      </c>
      <c r="H17" s="30" t="inlineStr">
        <is>
          <t>3"</t>
        </is>
      </c>
      <c r="I17" s="30" t="inlineStr">
        <is>
          <t>6'</t>
        </is>
      </c>
      <c r="J17" s="30" t="inlineStr">
        <is>
          <t>12'</t>
        </is>
      </c>
      <c r="K17" s="34" t="n"/>
      <c r="L17" s="32" t="inlineStr">
        <is>
          <t xml:space="preserve">$1175/675  must be sap&amp;btr </t>
        </is>
      </c>
      <c r="M17" s="33" t="n"/>
    </row>
    <row r="18" ht="40" customHeight="1">
      <c r="A18" s="28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4" t="n"/>
      <c r="L18" s="32" t="inlineStr">
        <is>
          <t xml:space="preserve">one 12,500' load then rest in Smy load </t>
        </is>
      </c>
      <c r="M18" s="33" t="inlineStr">
        <is>
          <t> </t>
        </is>
      </c>
    </row>
    <row r="19" ht="40" customHeight="1">
      <c r="A19" s="28" t="n"/>
      <c r="B19" s="29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4" t="n"/>
      <c r="L19" s="32" t="n"/>
      <c r="M19" s="33" t="n"/>
    </row>
    <row r="20" ht="132" customHeight="1">
      <c r="A20" s="28" t="inlineStr">
        <is>
          <t>Cay</t>
        </is>
      </c>
      <c r="B20" s="29" t="inlineStr">
        <is>
          <t>6/4</t>
        </is>
      </c>
      <c r="C20" s="30" t="n">
        <v>3</v>
      </c>
      <c r="D20" s="30" t="inlineStr">
        <is>
          <t>YES</t>
        </is>
      </c>
      <c r="E20" s="30" t="inlineStr">
        <is>
          <t>2-BTR</t>
        </is>
      </c>
      <c r="F20" s="30" t="inlineStr">
        <is>
          <t>1C</t>
        </is>
      </c>
      <c r="G20" s="30" t="inlineStr">
        <is>
          <t>UNSEL</t>
        </is>
      </c>
      <c r="H20" s="30" t="inlineStr">
        <is>
          <t>5"</t>
        </is>
      </c>
      <c r="I20" s="30" t="inlineStr">
        <is>
          <t>7'</t>
        </is>
      </c>
      <c r="J20" s="30" t="inlineStr">
        <is>
          <t>12'</t>
        </is>
      </c>
      <c r="K20" s="34" t="n">
        <v>1905</v>
      </c>
      <c r="L20" s="32" t="n"/>
      <c r="M20" s="33" t="n">
        <v>0.25</v>
      </c>
      <c r="N20" s="89" t="inlineStr">
        <is>
          <t>6/4 x RandomW x RandomL +3" 1COM OPT Unsel SMA
6/4 x RandomW x RandomL +3" 3ACOM OPT Unsel SMA
6/4 x RandomW x RandomL +3" WORMY ? SMA
6/4 x RandomW x Sel 6 SEL SAP OPT SAP SMA
6/4 x Rw &gt; 5 x RandomL +3" FASS OPT SAP SMA
6/4 x Rw SEL x RandomL +3" SEL SAP OPT SAP SMA</t>
        </is>
      </c>
      <c r="O20" s="89" t="inlineStr">
        <is>
          <t>16129045062061525
16129045062061521
16879039249346546
16129045062061527
16129045062061533
16129045062061529</t>
        </is>
      </c>
      <c r="P20" s="90" t="n">
        <v>6</v>
      </c>
    </row>
    <row r="21" ht="40" customHeight="1">
      <c r="A21" s="28" t="n"/>
      <c r="B21" s="29" t="n"/>
      <c r="C21" s="30" t="n"/>
      <c r="D21" s="30" t="n"/>
      <c r="E21" s="30" t="n"/>
      <c r="F21" s="30" t="inlineStr">
        <is>
          <t>2C</t>
        </is>
      </c>
      <c r="G21" s="30" t="inlineStr">
        <is>
          <t>UNSEL</t>
        </is>
      </c>
      <c r="H21" s="30" t="inlineStr">
        <is>
          <t>3.5"</t>
        </is>
      </c>
      <c r="I21" s="30" t="inlineStr">
        <is>
          <t>6'</t>
        </is>
      </c>
      <c r="J21" s="30" t="inlineStr">
        <is>
          <t>12'</t>
        </is>
      </c>
      <c r="K21" s="34" t="n">
        <v>905</v>
      </c>
      <c r="L21" s="32" t="n"/>
      <c r="M21" s="33" t="n"/>
      <c r="N21" s="89" t="inlineStr">
        <is>
          <t>6/4 x RandomW x RandomL +3" 2COM OPT Unsel SMA</t>
        </is>
      </c>
      <c r="O21" s="89" t="inlineStr">
        <is>
          <t>16129045062061523</t>
        </is>
      </c>
      <c r="P21" s="90" t="n">
        <v>1</v>
      </c>
    </row>
    <row r="22" ht="40" customHeight="1">
      <c r="A22" s="28" t="n"/>
      <c r="B22" s="29" t="n"/>
      <c r="C22" s="30" t="n"/>
      <c r="D22" s="30" t="n"/>
      <c r="E22" s="30" t="n"/>
      <c r="F22" s="30" t="inlineStr">
        <is>
          <t>2C</t>
        </is>
      </c>
      <c r="G22" s="30" t="inlineStr">
        <is>
          <t>UNSEL</t>
        </is>
      </c>
      <c r="H22" s="30" t="inlineStr">
        <is>
          <t>3.5"</t>
        </is>
      </c>
      <c r="I22" s="30" t="inlineStr">
        <is>
          <t>6'</t>
        </is>
      </c>
      <c r="J22" s="30" t="inlineStr">
        <is>
          <t>12'</t>
        </is>
      </c>
      <c r="K22" s="34" t="n">
        <v>505</v>
      </c>
      <c r="L22" s="46" t="n"/>
      <c r="M22" s="33" t="n"/>
      <c r="N22" s="89" t="inlineStr">
        <is>
          <t>6/4 x RandomW x RandomL +3" 2COM OPT Unsel SMA</t>
        </is>
      </c>
      <c r="O22" s="89" t="inlineStr">
        <is>
          <t>16129045062061523</t>
        </is>
      </c>
      <c r="P22" s="90" t="n">
        <v>1</v>
      </c>
    </row>
    <row r="23" ht="40" customHeight="1">
      <c r="A23" s="28" t="n"/>
      <c r="B23" s="29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4" t="n"/>
      <c r="L23" s="32" t="n"/>
      <c r="M23" s="33" t="n"/>
    </row>
    <row r="24" ht="111" customHeight="1">
      <c r="A24" s="28" t="inlineStr">
        <is>
          <t>Cay</t>
        </is>
      </c>
      <c r="B24" s="29" t="inlineStr">
        <is>
          <t>8/4</t>
        </is>
      </c>
      <c r="C24" s="30" t="n">
        <v>3</v>
      </c>
      <c r="D24" s="30" t="inlineStr">
        <is>
          <t>YES</t>
        </is>
      </c>
      <c r="E24" s="30" t="inlineStr">
        <is>
          <t>2-BTR</t>
        </is>
      </c>
      <c r="F24" s="30" t="inlineStr">
        <is>
          <t>PR</t>
        </is>
      </c>
      <c r="G24" s="30" t="inlineStr">
        <is>
          <t>UNSEL</t>
        </is>
      </c>
      <c r="H24" s="30" t="inlineStr">
        <is>
          <t>5"</t>
        </is>
      </c>
      <c r="I24" s="30" t="inlineStr">
        <is>
          <t>7'</t>
        </is>
      </c>
      <c r="J24" s="30" t="inlineStr">
        <is>
          <t>12'</t>
        </is>
      </c>
      <c r="K24" s="34" t="n">
        <v>2030</v>
      </c>
      <c r="L24" s="32" t="n"/>
      <c r="M24" s="33" t="n">
        <v>0.25</v>
      </c>
      <c r="N24" s="89" t="inlineStr">
        <is>
          <t>8/4 x RandomW x RandomL +3" 3ACOM OPT Unsel SMA
8/4 x RandomW x RandomL +3" WORMY ? SMA
8/4 x RandomW x Sel 6 SEL SAP OPT SAP SMA
8/4 x Rw &gt; 5 x RandomL +3" FASS OPT SAP SMA
8/4 x Rw SEL x RandomL +3" SEL SAP OPT SAP SMA</t>
        </is>
      </c>
      <c r="O24" s="89" t="inlineStr">
        <is>
          <t>16129045062061535
16879039249346544
16129045062061541
16129045062061547
16129045062061543</t>
        </is>
      </c>
      <c r="P24" s="90" t="n">
        <v>5</v>
      </c>
    </row>
    <row r="25" ht="40" customHeight="1">
      <c r="A25" s="28" t="n"/>
      <c r="B25" s="29" t="n"/>
      <c r="C25" s="30" t="n"/>
      <c r="D25" s="30" t="n"/>
      <c r="E25" s="30" t="n"/>
      <c r="F25" s="30" t="inlineStr">
        <is>
          <t>1C</t>
        </is>
      </c>
      <c r="G25" s="30" t="inlineStr">
        <is>
          <t>UNSEL</t>
        </is>
      </c>
      <c r="H25" s="30" t="inlineStr">
        <is>
          <t>4"</t>
        </is>
      </c>
      <c r="I25" s="30" t="inlineStr">
        <is>
          <t>6'</t>
        </is>
      </c>
      <c r="J25" s="30" t="inlineStr">
        <is>
          <t>12'</t>
        </is>
      </c>
      <c r="K25" s="34" t="n">
        <v>905</v>
      </c>
      <c r="L25" s="32" t="n"/>
      <c r="M25" s="33" t="n"/>
      <c r="N25" s="89" t="inlineStr">
        <is>
          <t>8/4 x RandomW x RandomL +3" 1COM OPT Unsel SMA</t>
        </is>
      </c>
      <c r="O25" s="89" t="inlineStr">
        <is>
          <t>16129045062061539</t>
        </is>
      </c>
      <c r="P25" s="90" t="n">
        <v>1</v>
      </c>
    </row>
    <row r="26" ht="40" customHeight="1">
      <c r="A26" s="28" t="n"/>
      <c r="B26" s="29" t="n"/>
      <c r="C26" s="30" t="n"/>
      <c r="D26" s="30" t="n"/>
      <c r="E26" s="30" t="n"/>
      <c r="F26" s="30" t="inlineStr">
        <is>
          <t>2C</t>
        </is>
      </c>
      <c r="G26" s="30" t="inlineStr">
        <is>
          <t>UNSEL</t>
        </is>
      </c>
      <c r="H26" s="30" t="inlineStr">
        <is>
          <t>4"</t>
        </is>
      </c>
      <c r="I26" s="30" t="inlineStr">
        <is>
          <t>6'</t>
        </is>
      </c>
      <c r="J26" s="30" t="inlineStr">
        <is>
          <t>12'</t>
        </is>
      </c>
      <c r="K26" s="34" t="n">
        <v>505</v>
      </c>
      <c r="L26" s="32" t="n"/>
      <c r="M26" s="33" t="n"/>
      <c r="N26" s="89" t="inlineStr">
        <is>
          <t>8/4 x RandomW x RandomL +3" 2COM OPT Unsel SMA</t>
        </is>
      </c>
      <c r="O26" s="89" t="inlineStr">
        <is>
          <t>16129045062061537</t>
        </is>
      </c>
      <c r="P26" s="90" t="n">
        <v>1</v>
      </c>
    </row>
    <row r="27" ht="40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" customHeight="1" thickBot="1" thickTop="1">
      <c r="A30" s="16" t="inlineStr">
        <is>
          <t>Color Code</t>
        </is>
      </c>
      <c r="B30" s="64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" customHeight="1" thickTop="1">
      <c r="A31" s="17">
        <f t="array" ref="A31:A32">IFERROR(_xlfn.UNIQUE(_xlfn._xlws.FILTER(G13:G28,G13:G28&lt;&gt;"")),"")</f>
        <v/>
      </c>
      <c r="B31" s="65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" customHeight="1">
      <c r="A32" s="18" t="inlineStr">
        <is>
          <t>SAP+BTR</t>
        </is>
      </c>
      <c r="B32" s="67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" customHeight="1">
      <c r="A33" s="18" t="n"/>
      <c r="B33" s="67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" customHeight="1">
      <c r="A34" s="18" t="n"/>
      <c r="B34" s="67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" customHeight="1">
      <c r="A35" s="18" t="n"/>
      <c r="B35" s="67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" customHeight="1" thickBot="1">
      <c r="A36" s="19" t="n"/>
      <c r="B36" s="69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" customHeight="1" thickTop="1">
      <c r="A38" s="97" t="inlineStr">
        <is>
          <t xml:space="preserve">need one 12500' load of 4/4 1&amp;2com sap&amp;btr for Helmer then rest put in Smy load 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" customHeight="1">
      <c r="A39" s="100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" customHeight="1">
      <c r="A40" s="100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64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500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500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450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Random</t>
        </is>
      </c>
      <c r="E47" s="34" t="n">
        <v>450</v>
      </c>
      <c r="F47" s="104" t="n"/>
      <c r="G47" s="101" t="n"/>
      <c r="H47" s="101" t="n"/>
      <c r="I47" s="101" t="n"/>
      <c r="J47" s="101" t="n"/>
      <c r="K47" s="101" t="n"/>
      <c r="L47" s="101" t="n"/>
      <c r="M47" s="102" t="n"/>
    </row>
    <row r="48" ht="40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425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64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64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F51:M51"/>
    <mergeCell ref="A40:M40"/>
    <mergeCell ref="E1:I1"/>
    <mergeCell ref="A39:M39"/>
    <mergeCell ref="F45:M45"/>
    <mergeCell ref="B30:M30"/>
    <mergeCell ref="B1:C1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61:M61"/>
    <mergeCell ref="F56:M56"/>
    <mergeCell ref="F43:M43"/>
    <mergeCell ref="G4:H4"/>
    <mergeCell ref="F52:M52"/>
    <mergeCell ref="F48:M48"/>
    <mergeCell ref="A37:M37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2026-07-06T19:19:12Z</dcterms:modified>
  <cp:lastModifiedBy>Bennett Hanke</cp:lastModifiedBy>
  <cp:lastPrinted>2025-12-01T18:46:10Z</cp:lastPrinted>
</cp:coreProperties>
</file>