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wok_2026-07-07/"/>
    </mc:Choice>
  </mc:AlternateContent>
  <xr:revisionPtr revIDLastSave="0" documentId="8_{B1A32F62-8DDC-42C6-AE58-19936787CA49}" xr6:coauthVersionLast="47" xr6:coauthVersionMax="47" xr10:uidLastSave="{00000000-0000-0000-0000-000000000000}"/>
  <bookViews>
    <workbookView xWindow="2280" yWindow="2280" windowWidth="18080" windowHeight="956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<sst xmlns="http://schemas.openxmlformats.org/spreadsheetml/2006/main" count="312" uniqueCount="186">
  <si>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</si>
  <si>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</si>
  <si>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</si>
  <si>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</si>
  <si>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</si>
  <si>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</si>
  <si>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</si>
  <si>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</si>
  <si>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</si>
  <si>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</si>
  <si>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</si>
  <si>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</si>
  <si>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</si>
  <si>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</si>
  <si>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</si>
  <si>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</si>
  <si>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</si>
  <si>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</si>
  <si>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</si>
  <si>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</si>
  <si>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</si>
  <si>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</si>
  <si>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</si>
  <si>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</si>
  <si>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</si>
  <si>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</si>
  <si>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</si>
  <si>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</si>
  <si>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</si>
  <si>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</si>
  <si>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</si>
  <si>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</si>
  <si>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</si>
  <si>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</si>
  <si>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</si>
  <si>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</si>
  <si>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</si>
  <si>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</si>
  <si>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</si>
  <si>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</si>
  <si>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</si>
  <si>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</si>
  <si>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</si>
  <si>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</si>
  <si>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</si>
  <si>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</si>
  <si>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</si>
  <si>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</si>
  <si>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</si>
  <si>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</si>
  <si>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</si>
  <si>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</si>
  <si>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</si>
  <si>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</si>
  <si>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</si>
  <si>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</si>
  <si>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</si>
  <si>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</si>
  <si>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</si>
  <si>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</si>
  <si>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</si>
  <si>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</si>
  <si>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</si>
  <si>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</si>
  <si>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</si>
  <si>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</si>
  <si>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</si>
  <si>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</si>
  <si>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</si>
  <si>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</si>
  <si>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</si>
  <si>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</si>
  <si>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</si>
  <si>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</si>
  <si>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</si>
  <si>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</si>
  <si>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</si>
  <si>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</si>
  <si>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</si>
  <si>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</si>
  <si>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</si>
  <si>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</si>
  <si>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</si>
  <si>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</si>
  <si>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</si>
  <si>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</si>
  <si>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</si>
  <si>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</si>
  <si>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</si>
  <si>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</si>
  <si>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</si>
  <si>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</si>
  <si>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</si>
  <si>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</si>
  <si>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</si>
  <si>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</si>
  <si>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</si>
  <si>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</si>
  <si>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</si>
  <si>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</si>
  <si>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</si>
  <si>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</si>
  <si>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</si>
  <si>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</si>
  <si>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</si>
  <si>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</si>
  <si>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</si>
  <si>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</si>
  <si>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</si>
  <si>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</si>
  <si>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</si>
  <si>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</si>
  <si>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</si>
  <si>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</si>
  <si>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</si>
  <si>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</si>
  <si>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</si>
  <si>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</si>
  <si>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</si>
  <si>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</si>
  <si>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</si>
  <si>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</si>
  <si>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</si>
  <si>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</si>
  <si>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</si>
  <si>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</si>
  <si>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</si>
  <si>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</si>
  <si>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</si>
  <si>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</si>
  <si>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</si>
  <si>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</si>
  <si>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</si>
  <si>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</si>
  <si>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</si>
  <si>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</si>
  <si>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</si>
  <si>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</si>
  <si>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</si>
  <si>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</si>
  <si>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</si>
  <si>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</si>
  <si>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</si>
  <si>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</si>
  <si>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</si>
  <si>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</si>
  <si>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</si>
  <si>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</si>
  <si>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</si>
  <si>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</si>
  <si>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</si>
  <si>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</si>
  <si>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</si>
  <si>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</si>
  <si>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</si>
  <si>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</si>
  <si>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</si>
  <si>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</si>
  <si>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</si>
  <si>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</si>
  <si>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</si>
  <si>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</si>
  <si>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</si>
  <si>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</si>
  <si>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</si>
  <si>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</si>
  <si>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</si>
  <si>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</si>
  <si>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</si>
  <si>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</si>
  <si>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</si>
  <si>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</si>
  <si>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</si>
  <si>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</si>
  <si>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</si>
  <si>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all 3B--all sound pallet--sap stain 1&amp;2c here</t>
  </si>
  <si>
    <t>Rockland</t>
  </si>
  <si>
    <t>NO</t>
  </si>
  <si>
    <t>see additional notes on the 4/4</t>
  </si>
  <si>
    <t>Smyrna</t>
  </si>
  <si>
    <t xml:space="preserve">can be aggressive on the 6/4 &amp; 8/4--- ok to make 6/4 &amp; 8/4 1&amp;2com </t>
  </si>
  <si>
    <t>see additional notes on sap spec</t>
  </si>
  <si>
    <t xml:space="preserve">8/4 Sap Spec --no more than 3/4'' of sap down each edge  </t>
  </si>
  <si>
    <t xml:space="preserve">6''x8'' SAP FREE--handful of whoops 1c is ok </t>
  </si>
  <si>
    <t>6/4 Sap Spec-- converging sap ok just don’t want more than 60% of face to be sap ------TARGET RUSTIC IN THE 6/4</t>
  </si>
  <si>
    <t xml:space="preserve">Rather have 4/4  9''&amp;wider center cut than ties-----4/4 Char under 6'' that doesn’t make 2com put in SG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</si>
</sst>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11</xdr:col>
      <xdr:colOff>3486150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N6" sqref="N6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20.36328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6">
        <v>46210</v>
      </c>
      <c r="C1" s="47"/>
      <c r="E1" s="49" t="s">
        <v>116</v>
      </c>
      <c r="F1" s="50"/>
      <c r="G1" s="50"/>
      <c r="H1" s="50"/>
      <c r="I1" s="51"/>
    </row>
    <row r="2" spans="1:13" ht="19.5" customHeight="1" thickTop="1" thickBot="1" x14ac:dyDescent="0.55000000000000004">
      <c r="A2" s="4" t="s">
        <v>114</v>
      </c>
      <c r="B2" s="48">
        <v>225</v>
      </c>
      <c r="C2" s="47"/>
      <c r="E2" s="60" t="s">
        <v>131</v>
      </c>
      <c r="F2" s="61"/>
      <c r="G2" s="61"/>
      <c r="H2" s="61"/>
      <c r="I2" s="62"/>
    </row>
    <row r="3" spans="1:13" ht="22" thickTop="1" thickBot="1" x14ac:dyDescent="0.55000000000000004"/>
    <row r="4" spans="1:13" ht="21.5" thickBot="1" x14ac:dyDescent="0.55000000000000004">
      <c r="A4" s="58" t="s">
        <v>7</v>
      </c>
      <c r="B4" s="59"/>
      <c r="D4" s="58" t="s">
        <v>118</v>
      </c>
      <c r="E4" s="59"/>
      <c r="G4" s="58" t="s">
        <v>117</v>
      </c>
      <c r="H4" s="59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8">IFERROR(_xlfn.UNIQUE(_xlfn._xlws.FILTER(B13:B28,B13:B28&lt;&gt;"")),"")</f>
        <v>4/4</v>
      </c>
      <c r="H5" s="21">
        <v>0.3</v>
      </c>
    </row>
    <row r="6" spans="1:13" ht="21.5" thickBot="1" x14ac:dyDescent="0.55000000000000004">
      <c r="A6" s="7" t="s">
        <v>8</v>
      </c>
      <c r="B6" s="20">
        <v>0.17</v>
      </c>
      <c r="D6" s="7" t="s">
        <v>138</v>
      </c>
      <c r="E6" s="20">
        <v>0.25</v>
      </c>
      <c r="G6" s="8" t="str">
        <v>6/4</v>
      </c>
      <c r="H6" s="21">
        <v>0.3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 t="str">
        <v>8/4</v>
      </c>
      <c r="H7" s="21">
        <v>0.3</v>
      </c>
    </row>
    <row r="8" spans="1:13" ht="21.5" thickBot="1" x14ac:dyDescent="0.55000000000000004">
      <c r="B8" s="10"/>
      <c r="C8" s="11"/>
      <c r="E8" s="12"/>
      <c r="F8" s="11"/>
      <c r="G8" s="8" t="str">
        <v>10/4</v>
      </c>
      <c r="H8" s="21">
        <v>0.1</v>
      </c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49" t="s">
        <v>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1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179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2550</v>
      </c>
      <c r="L13" s="26" t="s">
        <v>178</v>
      </c>
      <c r="M13" s="27">
        <v>0.3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1160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655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 t="s">
        <v>161</v>
      </c>
      <c r="G16" s="30" t="s">
        <v>50</v>
      </c>
      <c r="H16" s="30" t="s">
        <v>70</v>
      </c>
      <c r="I16" s="30" t="s">
        <v>81</v>
      </c>
      <c r="J16" s="30" t="s">
        <v>87</v>
      </c>
      <c r="K16" s="31">
        <v>780</v>
      </c>
      <c r="L16" s="32"/>
      <c r="M16" s="33"/>
    </row>
    <row r="17" spans="1:13" ht="40.25" customHeight="1" x14ac:dyDescent="0.5">
      <c r="A17" s="28" t="s">
        <v>176</v>
      </c>
      <c r="B17" s="29" t="s">
        <v>10</v>
      </c>
      <c r="C17" s="30">
        <v>3</v>
      </c>
      <c r="D17" s="30" t="s">
        <v>177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175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12</v>
      </c>
      <c r="C19" s="30">
        <v>3</v>
      </c>
      <c r="D19" s="30" t="s">
        <v>177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3050</v>
      </c>
      <c r="L19" s="32" t="s">
        <v>181</v>
      </c>
      <c r="M19" s="33">
        <v>0.3</v>
      </c>
    </row>
    <row r="20" spans="1:13" ht="40.25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1405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880</v>
      </c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.25" customHeight="1" x14ac:dyDescent="0.5">
      <c r="A23" s="28" t="s">
        <v>174</v>
      </c>
      <c r="B23" s="29" t="s">
        <v>14</v>
      </c>
      <c r="C23" s="30">
        <v>3</v>
      </c>
      <c r="D23" s="30" t="s">
        <v>173</v>
      </c>
      <c r="E23" s="30" t="s">
        <v>21</v>
      </c>
      <c r="F23" s="30" t="s">
        <v>40</v>
      </c>
      <c r="G23" s="30" t="s">
        <v>50</v>
      </c>
      <c r="H23" s="30" t="s">
        <v>69</v>
      </c>
      <c r="I23" s="30" t="s">
        <v>82</v>
      </c>
      <c r="J23" s="30" t="s">
        <v>87</v>
      </c>
      <c r="K23" s="31">
        <v>3400</v>
      </c>
      <c r="L23" s="32" t="s">
        <v>181</v>
      </c>
      <c r="M23" s="33">
        <v>0.3</v>
      </c>
    </row>
    <row r="24" spans="1:13" ht="40.25" customHeight="1" x14ac:dyDescent="0.5">
      <c r="A24" s="28"/>
      <c r="B24" s="29"/>
      <c r="C24" s="30"/>
      <c r="D24" s="30"/>
      <c r="E24" s="30"/>
      <c r="F24" s="30" t="s">
        <v>42</v>
      </c>
      <c r="G24" s="30" t="s">
        <v>50</v>
      </c>
      <c r="H24" s="30" t="s">
        <v>68</v>
      </c>
      <c r="I24" s="30" t="s">
        <v>81</v>
      </c>
      <c r="J24" s="30" t="s">
        <v>87</v>
      </c>
      <c r="K24" s="31">
        <v>1425</v>
      </c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 t="s">
        <v>43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930</v>
      </c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 t="s">
        <v>174</v>
      </c>
      <c r="B27" s="29" t="s">
        <v>16</v>
      </c>
      <c r="C27" s="30">
        <v>3</v>
      </c>
      <c r="D27" s="30" t="s">
        <v>173</v>
      </c>
      <c r="E27" s="30" t="s">
        <v>21</v>
      </c>
      <c r="F27" s="30" t="s">
        <v>40</v>
      </c>
      <c r="G27" s="30" t="s">
        <v>50</v>
      </c>
      <c r="H27" s="30" t="s">
        <v>70</v>
      </c>
      <c r="I27" s="30" t="s">
        <v>83</v>
      </c>
      <c r="J27" s="30" t="s">
        <v>87</v>
      </c>
      <c r="K27" s="31"/>
      <c r="L27" s="32" t="s">
        <v>183</v>
      </c>
      <c r="M27" s="33">
        <v>0.1</v>
      </c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49" t="s">
        <v>156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1"/>
    </row>
    <row r="30" spans="1:13" ht="40.25" customHeight="1" thickTop="1" thickBot="1" x14ac:dyDescent="0.5">
      <c r="A30" s="16" t="s">
        <v>157</v>
      </c>
      <c r="B30" s="63" t="s">
        <v>158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64" t="str">
        <f>IF(A31&lt;&gt;"",_xlfn.XLOOKUP(A31,Colors[Colors],Colors[Description],"",0),"")</f>
        <v>Unselected - No color specifications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</row>
    <row r="32" spans="1:13" ht="40.25" customHeight="1" x14ac:dyDescent="0.45">
      <c r="A32" s="18"/>
      <c r="B32" s="66" t="str">
        <f>IF(A32&lt;&gt;"",_xlfn.XLOOKUP(A32,Colors[Colors],Colors[Description],"",0),"")</f>
        <v/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</row>
    <row r="33" spans="1:13" ht="40.25" customHeight="1" x14ac:dyDescent="0.45">
      <c r="A33" s="18"/>
      <c r="B33" s="66" t="str">
        <f>IF(A33&lt;&gt;"",_xlfn.XLOOKUP(A33,Colors[Colors],Colors[Description],"",0),"")</f>
        <v/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7"/>
    </row>
    <row r="34" spans="1:13" ht="40.25" customHeight="1" x14ac:dyDescent="0.45">
      <c r="A34" s="18"/>
      <c r="B34" s="66" t="str">
        <f>IF(A34&lt;&gt;"",_xlfn.XLOOKUP(A34,Colors[Colors],Colors[Description],"",0),"")</f>
        <v/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7"/>
    </row>
    <row r="35" spans="1:13" ht="40.25" customHeight="1" x14ac:dyDescent="0.45">
      <c r="A35" s="18"/>
      <c r="B35" s="66" t="str">
        <f>IF(A35&lt;&gt;"",_xlfn.XLOOKUP(A35,Colors[Colors],Colors[Description],"",0),"")</f>
        <v/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7"/>
    </row>
    <row r="36" spans="1:13" ht="40.25" customHeight="1" thickBot="1" x14ac:dyDescent="0.5">
      <c r="A36" s="19"/>
      <c r="B36" s="68" t="str">
        <f>IF(A36&lt;&gt;"",_xlfn.XLOOKUP(A36,Colors[Colors],Colors[Description],"",0),"")</f>
        <v/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ht="40.25" customHeight="1" thickTop="1" thickBot="1" x14ac:dyDescent="0.55000000000000004">
      <c r="A37" s="49" t="s">
        <v>141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1"/>
    </row>
    <row r="38" spans="1:13" ht="40.25" customHeight="1" thickTop="1" x14ac:dyDescent="0.45">
      <c r="A38" s="73" t="s">
        <v>185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7"/>
    </row>
    <row r="39" spans="1:13" ht="40.25" customHeight="1" x14ac:dyDescent="0.45">
      <c r="A39" s="74" t="s">
        <v>184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2"/>
    </row>
    <row r="40" spans="1:13" ht="40.25" customHeight="1" x14ac:dyDescent="0.45">
      <c r="A40" s="74" t="s">
        <v>182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2"/>
    </row>
    <row r="41" spans="1:13" ht="40.25" customHeight="1" thickBot="1" x14ac:dyDescent="0.5">
      <c r="A41" s="74" t="s">
        <v>180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2"/>
    </row>
    <row r="42" spans="1:13" ht="40.25" customHeight="1" thickTop="1" thickBot="1" x14ac:dyDescent="0.55000000000000004">
      <c r="A42" s="49" t="s">
        <v>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2" t="s">
        <v>6</v>
      </c>
      <c r="G43" s="53"/>
      <c r="H43" s="53"/>
      <c r="I43" s="53"/>
      <c r="J43" s="53"/>
      <c r="K43" s="53"/>
      <c r="L43" s="53"/>
      <c r="M43" s="54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5"/>
      <c r="G44" s="56"/>
      <c r="H44" s="56"/>
      <c r="I44" s="56"/>
      <c r="J44" s="56"/>
      <c r="K44" s="56"/>
      <c r="L44" s="56"/>
      <c r="M44" s="57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0"/>
      <c r="G45" s="71"/>
      <c r="H45" s="71"/>
      <c r="I45" s="71"/>
      <c r="J45" s="71"/>
      <c r="K45" s="71"/>
      <c r="L45" s="71"/>
      <c r="M45" s="7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0"/>
      <c r="G46" s="71"/>
      <c r="H46" s="71"/>
      <c r="I46" s="71"/>
      <c r="J46" s="71"/>
      <c r="K46" s="71"/>
      <c r="L46" s="71"/>
      <c r="M46" s="7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70"/>
      <c r="G47" s="71"/>
      <c r="H47" s="71"/>
      <c r="I47" s="71"/>
      <c r="J47" s="71"/>
      <c r="K47" s="71"/>
      <c r="L47" s="71"/>
      <c r="M47" s="7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0"/>
      <c r="G48" s="71"/>
      <c r="H48" s="71"/>
      <c r="I48" s="71"/>
      <c r="J48" s="71"/>
      <c r="K48" s="71"/>
      <c r="L48" s="71"/>
      <c r="M48" s="7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0"/>
      <c r="G49" s="71"/>
      <c r="H49" s="71"/>
      <c r="I49" s="71"/>
      <c r="J49" s="71"/>
      <c r="K49" s="71"/>
      <c r="L49" s="71"/>
      <c r="M49" s="7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0"/>
      <c r="G50" s="71"/>
      <c r="H50" s="71"/>
      <c r="I50" s="71"/>
      <c r="J50" s="71"/>
      <c r="K50" s="71"/>
      <c r="L50" s="71"/>
      <c r="M50" s="7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0" t="s">
        <v>170</v>
      </c>
      <c r="G51" s="71"/>
      <c r="H51" s="71"/>
      <c r="I51" s="71"/>
      <c r="J51" s="71"/>
      <c r="K51" s="71"/>
      <c r="L51" s="71"/>
      <c r="M51" s="72"/>
    </row>
    <row r="52" spans="1:13" ht="40.25" customHeight="1" thickBot="1" x14ac:dyDescent="0.5">
      <c r="A52" s="45"/>
      <c r="B52" s="37"/>
      <c r="C52" s="37"/>
      <c r="D52" s="37"/>
      <c r="E52" s="38"/>
      <c r="F52" s="75"/>
      <c r="G52" s="76"/>
      <c r="H52" s="76"/>
      <c r="I52" s="76"/>
      <c r="J52" s="76"/>
      <c r="K52" s="76"/>
      <c r="L52" s="76"/>
      <c r="M52" s="77"/>
    </row>
    <row r="53" spans="1:13" ht="40.25" customHeight="1" thickTop="1" thickBot="1" x14ac:dyDescent="0.55000000000000004">
      <c r="A53" s="49" t="s">
        <v>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1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2" t="s">
        <v>6</v>
      </c>
      <c r="G54" s="53"/>
      <c r="H54" s="53"/>
      <c r="I54" s="53"/>
      <c r="J54" s="53"/>
      <c r="K54" s="53"/>
      <c r="L54" s="53"/>
      <c r="M54" s="54"/>
    </row>
    <row r="55" spans="1:13" ht="40.25" customHeight="1" thickTop="1" x14ac:dyDescent="0.45">
      <c r="A55" s="41"/>
      <c r="B55" s="42"/>
      <c r="C55" s="42"/>
      <c r="D55" s="42"/>
      <c r="E55" s="43"/>
      <c r="F55" s="55"/>
      <c r="G55" s="56"/>
      <c r="H55" s="56"/>
      <c r="I55" s="56"/>
      <c r="J55" s="56"/>
      <c r="K55" s="56"/>
      <c r="L55" s="56"/>
      <c r="M55" s="57"/>
    </row>
    <row r="56" spans="1:13" ht="40.25" customHeight="1" x14ac:dyDescent="0.45">
      <c r="A56" s="44"/>
      <c r="B56" s="30"/>
      <c r="C56" s="30"/>
      <c r="D56" s="30"/>
      <c r="E56" s="31"/>
      <c r="F56" s="70"/>
      <c r="G56" s="71"/>
      <c r="H56" s="71"/>
      <c r="I56" s="71"/>
      <c r="J56" s="71"/>
      <c r="K56" s="71"/>
      <c r="L56" s="71"/>
      <c r="M56" s="72"/>
    </row>
    <row r="57" spans="1:13" ht="40.25" customHeight="1" thickBot="1" x14ac:dyDescent="0.5">
      <c r="A57" s="44"/>
      <c r="B57" s="30"/>
      <c r="C57" s="30"/>
      <c r="D57" s="30"/>
      <c r="E57" s="31"/>
      <c r="F57" s="75"/>
      <c r="G57" s="76"/>
      <c r="H57" s="76"/>
      <c r="I57" s="76"/>
      <c r="J57" s="76"/>
      <c r="K57" s="76"/>
      <c r="L57" s="76"/>
      <c r="M57" s="77"/>
    </row>
    <row r="58" spans="1:13" ht="40.25" customHeight="1" thickTop="1" thickBot="1" x14ac:dyDescent="0.55000000000000004">
      <c r="A58" s="49" t="s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1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2" t="s">
        <v>6</v>
      </c>
      <c r="G59" s="53"/>
      <c r="H59" s="53"/>
      <c r="I59" s="53"/>
      <c r="J59" s="53"/>
      <c r="K59" s="53"/>
      <c r="L59" s="53"/>
      <c r="M59" s="54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5"/>
      <c r="G60" s="56"/>
      <c r="H60" s="56"/>
      <c r="I60" s="56"/>
      <c r="J60" s="56"/>
      <c r="K60" s="56"/>
      <c r="L60" s="56"/>
      <c r="M60" s="57"/>
    </row>
    <row r="61" spans="1:13" ht="40.25" customHeight="1" thickBot="1" x14ac:dyDescent="0.5">
      <c r="A61" s="45"/>
      <c r="B61" s="37"/>
      <c r="C61" s="37"/>
      <c r="D61" s="37"/>
      <c r="E61" s="38"/>
      <c r="F61" s="75"/>
      <c r="G61" s="76"/>
      <c r="H61" s="76"/>
      <c r="I61" s="76"/>
      <c r="J61" s="76"/>
      <c r="K61" s="76"/>
      <c r="L61" s="76"/>
      <c r="M61" s="77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2026-07-06T19:21:46Z</dcterms:modified>
</cp:coreProperties>
</file>