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2280" windowWidth="18080" windowHeight="9560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7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7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44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45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zoomScale="80" zoomScaleNormal="80" zoomScaleSheetLayoutView="70" workbookViewId="0">
      <selection activeCell="N6" sqref="N6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20.36328125" bestFit="1" customWidth="1" style="6" min="11" max="11"/>
    <col width="52.90625" bestFit="1" customWidth="1" style="5" min="12" max="12"/>
    <col width="11.453125" bestFit="1" customWidth="1" style="5" min="13" max="13"/>
    <col width="72.5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8" t="n">
        <v>46210</v>
      </c>
      <c r="C1" s="79" t="n"/>
      <c r="E1" s="80" t="inlineStr">
        <is>
          <t>Species:</t>
        </is>
      </c>
      <c r="F1" s="81" t="n"/>
      <c r="G1" s="81" t="n"/>
      <c r="H1" s="81" t="n"/>
      <c r="I1" s="82" t="n"/>
    </row>
    <row r="2" ht="19.5" customHeight="1" thickBot="1" thickTop="1">
      <c r="A2" s="4" t="inlineStr">
        <is>
          <t>Log Volume:</t>
        </is>
      </c>
      <c r="B2" s="47" t="n">
        <v>225</v>
      </c>
      <c r="C2" s="79" t="n"/>
      <c r="E2" s="83" t="inlineStr">
        <is>
          <t>White Oak</t>
        </is>
      </c>
      <c r="F2" s="84" t="n"/>
      <c r="G2" s="84" t="n"/>
      <c r="H2" s="84" t="n"/>
      <c r="I2" s="85" t="n"/>
    </row>
    <row r="3" ht="22" customHeight="1" thickBot="1" thickTop="1"/>
    <row r="4" ht="21.5" customHeight="1" thickBot="1">
      <c r="A4" s="86" t="inlineStr">
        <is>
          <t>Targets</t>
        </is>
      </c>
      <c r="B4" s="87" t="n"/>
      <c r="D4" s="86" t="inlineStr">
        <is>
          <t>Grade Targets</t>
        </is>
      </c>
      <c r="E4" s="87" t="n"/>
      <c r="G4" s="86" t="inlineStr">
        <is>
          <t>Thickness Targets</t>
        </is>
      </c>
      <c r="H4" s="87" t="n"/>
    </row>
    <row r="5" ht="21.5" customHeight="1" thickBot="1">
      <c r="A5" s="7" t="inlineStr">
        <is>
          <t>Lumber</t>
        </is>
      </c>
      <c r="B5" s="20" t="n">
        <v>0.83</v>
      </c>
      <c r="D5" s="7" t="inlineStr">
        <is>
          <t>PRIME</t>
        </is>
      </c>
      <c r="E5" s="20" t="n">
        <v>0.5</v>
      </c>
      <c r="G5" s="8">
        <f t="array" ref="G5:G8">IFERROR(_xlfn.UNIQUE(_xlfn._xlws.FILTER(B13:B28,B13:B28&lt;&gt;"")),"")</f>
        <v/>
      </c>
      <c r="H5" s="21" t="n">
        <v>0.3</v>
      </c>
    </row>
    <row r="6" ht="21.5" customHeight="1" thickBot="1">
      <c r="A6" s="7" t="inlineStr">
        <is>
          <t>Cants</t>
        </is>
      </c>
      <c r="B6" s="20" t="n">
        <v>0.17</v>
      </c>
      <c r="D6" s="7" t="inlineStr">
        <is>
          <t>1COM</t>
        </is>
      </c>
      <c r="E6" s="20" t="n">
        <v>0.25</v>
      </c>
      <c r="G6" s="8" t="inlineStr">
        <is>
          <t>6/4</t>
        </is>
      </c>
      <c r="H6" s="21" t="n">
        <v>0.3</v>
      </c>
    </row>
    <row r="7" ht="21.5" customHeight="1" thickBot="1">
      <c r="A7" s="7" t="inlineStr">
        <is>
          <t>Ties</t>
        </is>
      </c>
      <c r="B7" s="20" t="n"/>
      <c r="D7" s="7" t="inlineStr">
        <is>
          <t>2COM</t>
        </is>
      </c>
      <c r="E7" s="20" t="n">
        <v>0.25</v>
      </c>
      <c r="F7" s="9" t="n"/>
      <c r="G7" s="8" t="inlineStr">
        <is>
          <t>8/4</t>
        </is>
      </c>
      <c r="H7" s="21" t="n">
        <v>0.3</v>
      </c>
    </row>
    <row r="8" ht="21.5" customHeight="1" thickBot="1">
      <c r="B8" s="10" t="n"/>
      <c r="C8" s="11" t="n"/>
      <c r="E8" s="12" t="n"/>
      <c r="F8" s="11" t="n"/>
      <c r="G8" s="8" t="inlineStr">
        <is>
          <t>10/4</t>
        </is>
      </c>
      <c r="H8" s="21" t="n">
        <v>0.1</v>
      </c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.25" customHeight="1" thickBot="1" thickTop="1">
      <c r="A11" s="80" t="inlineStr">
        <is>
          <t>Lumber</t>
        </is>
      </c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2" t="n"/>
    </row>
    <row r="12" ht="40.2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111" customHeight="1" thickTop="1">
      <c r="A13" s="22" t="inlineStr">
        <is>
          <t>Smyrna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2-BTR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5"</t>
        </is>
      </c>
      <c r="I13" s="24" t="inlineStr">
        <is>
          <t>7'</t>
        </is>
      </c>
      <c r="J13" s="24" t="inlineStr">
        <is>
          <t>12'</t>
        </is>
      </c>
      <c r="K13" s="25" t="n">
        <v>2550</v>
      </c>
      <c r="L13" s="26" t="inlineStr">
        <is>
          <t>see additional notes on the 4/4</t>
        </is>
      </c>
      <c r="M13" s="27" t="n">
        <v>0.3</v>
      </c>
      <c r="N13" s="88" t="inlineStr">
        <is>
          <t>4/4 x RandomW x Sel 6 SEL OPT Unsel WOK
4/4 x Rw &gt; 6 x RandomL +3" FAS OPT Unsel WOK
4/4 x Rw SEL x RandomL +3" SEL OPT Unsel WOK
4/4 x Rw &gt; 5 x RandomL +3" FAS OPT Unsel WOK
4/4 x RandomW x RandomL +3" 3ACOM OPT Unsel WOK</t>
        </is>
      </c>
      <c r="O13" s="88" t="inlineStr">
        <is>
          <t>16085783831819217
17588035475183205
25491
25471
25483</t>
        </is>
      </c>
      <c r="P13" s="89" t="n">
        <v>5</v>
      </c>
    </row>
    <row r="14" ht="40.25" customHeight="1">
      <c r="A14" s="28" t="n"/>
      <c r="B14" s="29" t="n"/>
      <c r="C14" s="30" t="n"/>
      <c r="D14" s="30" t="n"/>
      <c r="E14" s="30" t="n"/>
      <c r="F14" s="30" t="inlineStr">
        <is>
          <t>1C</t>
        </is>
      </c>
      <c r="G14" s="30" t="inlineStr">
        <is>
          <t>UNSEL</t>
        </is>
      </c>
      <c r="H14" s="30" t="inlineStr">
        <is>
          <t>3.5"</t>
        </is>
      </c>
      <c r="I14" s="30" t="inlineStr">
        <is>
          <t>6'</t>
        </is>
      </c>
      <c r="J14" s="30" t="inlineStr">
        <is>
          <t>12'</t>
        </is>
      </c>
      <c r="K14" s="34" t="n">
        <v>1160</v>
      </c>
      <c r="L14" s="32" t="n"/>
      <c r="M14" s="33" t="n"/>
      <c r="N14" s="88" t="inlineStr">
        <is>
          <t>4/4 x RandomW x RandomL +3" 1COM OPT Unsel WOK</t>
        </is>
      </c>
      <c r="O14" s="88" t="inlineStr">
        <is>
          <t>25475</t>
        </is>
      </c>
      <c r="P14" s="89" t="n">
        <v>1</v>
      </c>
    </row>
    <row r="15" ht="40.25" customHeight="1">
      <c r="A15" s="28" t="n"/>
      <c r="B15" s="29" t="n"/>
      <c r="C15" s="30" t="n"/>
      <c r="D15" s="30" t="n"/>
      <c r="E15" s="30" t="n"/>
      <c r="F15" s="30" t="inlineStr">
        <is>
          <t>2C</t>
        </is>
      </c>
      <c r="G15" s="30" t="inlineStr">
        <is>
          <t>UNSEL</t>
        </is>
      </c>
      <c r="H15" s="30" t="inlineStr">
        <is>
          <t>3.5"</t>
        </is>
      </c>
      <c r="I15" s="30" t="inlineStr">
        <is>
          <t>6'</t>
        </is>
      </c>
      <c r="J15" s="30" t="inlineStr">
        <is>
          <t>12'</t>
        </is>
      </c>
      <c r="K15" s="34" t="n">
        <v>655</v>
      </c>
      <c r="L15" s="32" t="n"/>
      <c r="M15" s="33" t="n"/>
      <c r="N15" s="88" t="inlineStr">
        <is>
          <t>4/4 x RandomW x RandomL +3" 2COM OPT Unsel WOK</t>
        </is>
      </c>
      <c r="O15" s="88" t="inlineStr">
        <is>
          <t>25479</t>
        </is>
      </c>
      <c r="P15" s="89" t="n">
        <v>1</v>
      </c>
    </row>
    <row r="16" ht="174" customHeight="1">
      <c r="A16" s="28" t="n"/>
      <c r="B16" s="29" t="n"/>
      <c r="C16" s="30" t="n"/>
      <c r="D16" s="30" t="n"/>
      <c r="E16" s="30" t="n"/>
      <c r="F16" s="30" t="inlineStr">
        <is>
          <t>CHR</t>
        </is>
      </c>
      <c r="G16" s="30" t="inlineStr">
        <is>
          <t>UNSEL</t>
        </is>
      </c>
      <c r="H16" s="30" t="inlineStr">
        <is>
          <t>6"</t>
        </is>
      </c>
      <c r="I16" s="30" t="inlineStr">
        <is>
          <t>6'</t>
        </is>
      </c>
      <c r="J16" s="30" t="inlineStr">
        <is>
          <t>12'</t>
        </is>
      </c>
      <c r="K16" s="34" t="n">
        <v>780</v>
      </c>
      <c r="L16" s="32" t="n"/>
      <c r="M16" s="33" t="n"/>
      <c r="N16" s="88" t="inlineStr">
        <is>
          <t>4/4 x RandomW x Sel 6 SEL OPT Unsel WOK
4/4 x RandomW x RandomL +3" 1COM OPT Unsel WOK
4/4 x RandomW x RandomL +3" 2COM OPT Unsel WOK
4/4 x Rw &gt; 6 x RandomL +3" FAS OPT Unsel WOK
4/4 x Rw &gt; 6 x RandomL +3" CHAR OPT ? WOK
4/4 x Rw &gt; 8 x RandomL +3" CHAR OPT ? WOK
4/4 x Rw SEL x RandomL +3" SEL OPT Unsel WOK
4/4 x Rw &gt; 5 x RandomL +3" FAS OPT Unsel WOK</t>
        </is>
      </c>
      <c r="O16" s="88" t="inlineStr">
        <is>
          <t>16085783831819217
25475
25479
17588035475183205
25487
16195211180014552
25491
25471</t>
        </is>
      </c>
      <c r="P16" s="89" t="n">
        <v>8</v>
      </c>
    </row>
    <row r="17" ht="48" customHeight="1">
      <c r="A17" s="28" t="inlineStr">
        <is>
          <t>Rockland</t>
        </is>
      </c>
      <c r="B17" s="29" t="inlineStr">
        <is>
          <t>4/4</t>
        </is>
      </c>
      <c r="C17" s="30" t="n">
        <v>3</v>
      </c>
      <c r="D17" s="30" t="inlineStr">
        <is>
          <t>NO</t>
        </is>
      </c>
      <c r="E17" s="30" t="inlineStr">
        <is>
          <t>Sub Grade</t>
        </is>
      </c>
      <c r="F17" s="30" t="inlineStr">
        <is>
          <t>SG</t>
        </is>
      </c>
      <c r="G17" s="30" t="inlineStr">
        <is>
          <t>UNSEL</t>
        </is>
      </c>
      <c r="H17" s="30" t="inlineStr">
        <is>
          <t>3"</t>
        </is>
      </c>
      <c r="I17" s="30" t="inlineStr">
        <is>
          <t>6'</t>
        </is>
      </c>
      <c r="J17" s="30" t="inlineStr">
        <is>
          <t>12'</t>
        </is>
      </c>
      <c r="K17" s="34" t="n">
        <v>300</v>
      </c>
      <c r="L17" s="32" t="inlineStr">
        <is>
          <t>all 3B--all sound pallet--sap stain 1&amp;2c here</t>
        </is>
      </c>
      <c r="M17" s="33" t="n"/>
      <c r="N17" s="88" t="inlineStr">
        <is>
          <t>4/4 x RandomW x RandomL +3" 3B OPT ? WOK
4/4 x RandomW x RandomL +3" SUBG OPT ? WOK</t>
        </is>
      </c>
      <c r="O17" s="88" t="inlineStr">
        <is>
          <t>34583
16085802283570911</t>
        </is>
      </c>
      <c r="P17" s="89" t="n">
        <v>2</v>
      </c>
    </row>
    <row r="18" ht="40.25" customHeight="1">
      <c r="A18" s="28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4" t="n"/>
      <c r="L18" s="32" t="n"/>
      <c r="M18" s="33" t="n"/>
    </row>
    <row r="19" ht="90" customHeight="1">
      <c r="A19" s="28" t="inlineStr">
        <is>
          <t>Cayuta</t>
        </is>
      </c>
      <c r="B19" s="29" t="inlineStr">
        <is>
          <t>6/4</t>
        </is>
      </c>
      <c r="C19" s="30" t="n">
        <v>3</v>
      </c>
      <c r="D19" s="30" t="inlineStr">
        <is>
          <t>NO</t>
        </is>
      </c>
      <c r="E19" s="30" t="inlineStr">
        <is>
          <t>2-BTR</t>
        </is>
      </c>
      <c r="F19" s="30" t="inlineStr">
        <is>
          <t>PR</t>
        </is>
      </c>
      <c r="G19" s="30" t="inlineStr">
        <is>
          <t>UNSEL</t>
        </is>
      </c>
      <c r="H19" s="30" t="inlineStr">
        <is>
          <t>5"</t>
        </is>
      </c>
      <c r="I19" s="30" t="inlineStr">
        <is>
          <t>7'</t>
        </is>
      </c>
      <c r="J19" s="30" t="inlineStr">
        <is>
          <t>12'</t>
        </is>
      </c>
      <c r="K19" s="34" t="n">
        <v>3050</v>
      </c>
      <c r="L19" s="32" t="inlineStr">
        <is>
          <t>see additional notes on sap spec</t>
        </is>
      </c>
      <c r="M19" s="33" t="n">
        <v>0.3</v>
      </c>
      <c r="N19" s="88" t="inlineStr">
        <is>
          <t>6/4 x RandomW x Sel 6 SEL OPT Unsel WOK
6/4 x Rw SEL x RandomL +3" SEL OPT Unsel WOK
6/4 x Rw &gt; 5 x RandomL +3" FAS OPT Unsel WOK
6/4 x RandomW x RandomL +3" 3ACOM OPT Unsel WOK</t>
        </is>
      </c>
      <c r="O19" s="88" t="inlineStr">
        <is>
          <t>16075295038725470
16085785283509376
16075295038725462
16075295038725468</t>
        </is>
      </c>
      <c r="P19" s="89" t="n">
        <v>4</v>
      </c>
    </row>
    <row r="20" ht="40.25" customHeight="1">
      <c r="A20" s="28" t="n"/>
      <c r="B20" s="29" t="n"/>
      <c r="C20" s="30" t="n"/>
      <c r="D20" s="30" t="n"/>
      <c r="E20" s="30" t="n"/>
      <c r="F20" s="30" t="inlineStr">
        <is>
          <t>1C</t>
        </is>
      </c>
      <c r="G20" s="30" t="inlineStr">
        <is>
          <t>UNSEL</t>
        </is>
      </c>
      <c r="H20" s="30" t="inlineStr">
        <is>
          <t>3.5"</t>
        </is>
      </c>
      <c r="I20" s="30" t="inlineStr">
        <is>
          <t>6'</t>
        </is>
      </c>
      <c r="J20" s="30" t="inlineStr">
        <is>
          <t>12'</t>
        </is>
      </c>
      <c r="K20" s="34" t="n">
        <v>1405</v>
      </c>
      <c r="L20" s="32" t="n"/>
      <c r="M20" s="33" t="n"/>
      <c r="N20" s="88" t="inlineStr">
        <is>
          <t>6/4 x RandomW x RandomL +3" 1COM OPT Unsel WOK</t>
        </is>
      </c>
      <c r="O20" s="88" t="inlineStr">
        <is>
          <t>16075295038725464</t>
        </is>
      </c>
      <c r="P20" s="89" t="n">
        <v>1</v>
      </c>
    </row>
    <row r="21" ht="40.25" customHeight="1">
      <c r="A21" s="28" t="n"/>
      <c r="B21" s="29" t="n"/>
      <c r="C21" s="30" t="n"/>
      <c r="D21" s="30" t="n"/>
      <c r="E21" s="30" t="n"/>
      <c r="F21" s="30" t="inlineStr">
        <is>
          <t>2C</t>
        </is>
      </c>
      <c r="G21" s="30" t="inlineStr">
        <is>
          <t>UNSEL</t>
        </is>
      </c>
      <c r="H21" s="30" t="inlineStr">
        <is>
          <t>3.5"</t>
        </is>
      </c>
      <c r="I21" s="30" t="inlineStr">
        <is>
          <t>6'</t>
        </is>
      </c>
      <c r="J21" s="30" t="inlineStr">
        <is>
          <t>12'</t>
        </is>
      </c>
      <c r="K21" s="34" t="n">
        <v>880</v>
      </c>
      <c r="L21" s="32" t="n"/>
      <c r="M21" s="33" t="n"/>
      <c r="N21" s="88" t="inlineStr">
        <is>
          <t>6/4 x RandomW x RandomL +3" 2COM OPT Unsel WOK</t>
        </is>
      </c>
      <c r="O21" s="88" t="inlineStr">
        <is>
          <t>16075295038725466</t>
        </is>
      </c>
      <c r="P21" s="89" t="n">
        <v>1</v>
      </c>
    </row>
    <row r="22" ht="40.25" customHeight="1">
      <c r="A22" s="28" t="n"/>
      <c r="B22" s="29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4" t="n"/>
      <c r="L22" s="32" t="n"/>
      <c r="M22" s="33" t="n"/>
    </row>
    <row r="23" ht="90" customHeight="1">
      <c r="A23" s="28" t="inlineStr">
        <is>
          <t>Cayuta</t>
        </is>
      </c>
      <c r="B23" s="29" t="inlineStr">
        <is>
          <t>8/4</t>
        </is>
      </c>
      <c r="C23" s="30" t="n">
        <v>3</v>
      </c>
      <c r="D23" s="30" t="inlineStr">
        <is>
          <t>YES</t>
        </is>
      </c>
      <c r="E23" s="30" t="inlineStr">
        <is>
          <t>Prime</t>
        </is>
      </c>
      <c r="F23" s="30" t="inlineStr">
        <is>
          <t>PR</t>
        </is>
      </c>
      <c r="G23" s="30" t="inlineStr">
        <is>
          <t>UNSEL</t>
        </is>
      </c>
      <c r="H23" s="30" t="inlineStr">
        <is>
          <t>5"</t>
        </is>
      </c>
      <c r="I23" s="30" t="inlineStr">
        <is>
          <t>7'</t>
        </is>
      </c>
      <c r="J23" s="30" t="inlineStr">
        <is>
          <t>12'</t>
        </is>
      </c>
      <c r="K23" s="34" t="n">
        <v>3400</v>
      </c>
      <c r="L23" s="32" t="inlineStr">
        <is>
          <t>see additional notes on sap spec</t>
        </is>
      </c>
      <c r="M23" s="33" t="n">
        <v>0.3</v>
      </c>
      <c r="N23" s="88" t="inlineStr">
        <is>
          <t>8/4 x RandomW x Sel 6 SEL OPT Unsel WOK
8/4 x Rw SEL x RandomL +3" SEL OPT Unsel WOK
8/4 x Rw &gt; 5 x RandomL +3" FAS OPT Unsel WOK
8/4 x RandomW x RandomL +3" 3ACOM OPT Unsel WOK</t>
        </is>
      </c>
      <c r="O23" s="88" t="inlineStr">
        <is>
          <t>16075295038855487
16085785283659384
16075295038855479
16075295038855485</t>
        </is>
      </c>
      <c r="P23" s="89" t="n">
        <v>4</v>
      </c>
    </row>
    <row r="24" ht="40.25" customHeight="1">
      <c r="A24" s="28" t="n"/>
      <c r="B24" s="29" t="n"/>
      <c r="C24" s="30" t="n"/>
      <c r="D24" s="30" t="n"/>
      <c r="E24" s="30" t="n"/>
      <c r="F24" s="30" t="inlineStr">
        <is>
          <t>1C</t>
        </is>
      </c>
      <c r="G24" s="30" t="inlineStr">
        <is>
          <t>UNSEL</t>
        </is>
      </c>
      <c r="H24" s="30" t="inlineStr">
        <is>
          <t>4"</t>
        </is>
      </c>
      <c r="I24" s="30" t="inlineStr">
        <is>
          <t>6'</t>
        </is>
      </c>
      <c r="J24" s="30" t="inlineStr">
        <is>
          <t>12'</t>
        </is>
      </c>
      <c r="K24" s="34" t="n">
        <v>1425</v>
      </c>
      <c r="L24" s="32" t="n"/>
      <c r="M24" s="33" t="n"/>
      <c r="N24" s="88" t="inlineStr">
        <is>
          <t>8/4 x RandomW x RandomL +3" 1COM OPT Unsel WOK</t>
        </is>
      </c>
      <c r="O24" s="88" t="inlineStr">
        <is>
          <t>16075295038855481</t>
        </is>
      </c>
      <c r="P24" s="89" t="n">
        <v>1</v>
      </c>
    </row>
    <row r="25" ht="40.25" customHeight="1">
      <c r="A25" s="28" t="n"/>
      <c r="B25" s="29" t="n"/>
      <c r="C25" s="30" t="n"/>
      <c r="D25" s="30" t="n"/>
      <c r="E25" s="30" t="n"/>
      <c r="F25" s="30" t="inlineStr">
        <is>
          <t>2C</t>
        </is>
      </c>
      <c r="G25" s="30" t="inlineStr">
        <is>
          <t>UNSEL</t>
        </is>
      </c>
      <c r="H25" s="30" t="inlineStr">
        <is>
          <t>4"</t>
        </is>
      </c>
      <c r="I25" s="30" t="inlineStr">
        <is>
          <t>6'</t>
        </is>
      </c>
      <c r="J25" s="30" t="inlineStr">
        <is>
          <t>12'</t>
        </is>
      </c>
      <c r="K25" s="34" t="n">
        <v>930</v>
      </c>
      <c r="L25" s="32" t="n"/>
      <c r="M25" s="33" t="n"/>
      <c r="N25" s="88" t="inlineStr">
        <is>
          <t>8/4 x RandomW x RandomL +3" 2COM OPT Unsel WOK</t>
        </is>
      </c>
      <c r="O25" s="88" t="inlineStr">
        <is>
          <t>16075295038855483</t>
        </is>
      </c>
      <c r="P25" s="89" t="n">
        <v>1</v>
      </c>
    </row>
    <row r="26" ht="40.2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25" customHeight="1">
      <c r="A27" s="28" t="inlineStr">
        <is>
          <t>Cayuta</t>
        </is>
      </c>
      <c r="B27" s="29" t="inlineStr">
        <is>
          <t>10/4</t>
        </is>
      </c>
      <c r="C27" s="30" t="n">
        <v>3</v>
      </c>
      <c r="D27" s="30" t="inlineStr">
        <is>
          <t>YES</t>
        </is>
      </c>
      <c r="E27" s="30" t="inlineStr">
        <is>
          <t>Prime</t>
        </is>
      </c>
      <c r="F27" s="30" t="inlineStr">
        <is>
          <t>PR</t>
        </is>
      </c>
      <c r="G27" s="30" t="inlineStr">
        <is>
          <t>UNSEL</t>
        </is>
      </c>
      <c r="H27" s="30" t="inlineStr">
        <is>
          <t>6"</t>
        </is>
      </c>
      <c r="I27" s="30" t="inlineStr">
        <is>
          <t>8'</t>
        </is>
      </c>
      <c r="J27" s="30" t="inlineStr">
        <is>
          <t>12'</t>
        </is>
      </c>
      <c r="K27" s="34" t="n"/>
      <c r="L27" s="32" t="inlineStr">
        <is>
          <t xml:space="preserve">6''x8'' SAP FREE--handful of whoops 1c is ok </t>
        </is>
      </c>
      <c r="M27" s="33" t="n">
        <v>0.1</v>
      </c>
      <c r="N27" s="88" t="inlineStr">
        <is>
          <t>10/4 x Rw &gt; 5 x RandomL +3" FAS OPT Unsel WOK</t>
        </is>
      </c>
      <c r="O27" s="88" t="inlineStr">
        <is>
          <t>16103918825234583</t>
        </is>
      </c>
      <c r="P27" s="89" t="n">
        <v>1</v>
      </c>
    </row>
    <row r="28" ht="40.2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25" customHeight="1" thickBot="1" thickTop="1">
      <c r="A29" s="80" t="inlineStr">
        <is>
          <t>Color Descriptions</t>
        </is>
      </c>
      <c r="B29" s="81" t="n"/>
      <c r="C29" s="81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2" t="n"/>
    </row>
    <row r="30" ht="40.25" customHeight="1" thickBot="1" thickTop="1">
      <c r="A30" s="16" t="inlineStr">
        <is>
          <t>Color Code</t>
        </is>
      </c>
      <c r="B30" s="63" t="inlineStr">
        <is>
          <t>Color Description</t>
        </is>
      </c>
      <c r="C30" s="81" t="n"/>
      <c r="D30" s="81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2" t="n"/>
    </row>
    <row r="31" ht="40.25" customHeight="1" thickTop="1">
      <c r="A31" s="17">
        <f t="array" ref="A31">IFERROR(_xlfn.UNIQUE(_xlfn._xlws.FILTER(G13:G28,G13:G28&lt;&gt;"")),"")</f>
        <v/>
      </c>
      <c r="B31" s="64">
        <f>IF(A31&lt;&gt;"",_xlfn.XLOOKUP(A31,Colors[Colors],Colors[Description],"",0),"")</f>
        <v/>
      </c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1" t="n"/>
    </row>
    <row r="32" ht="40.25" customHeight="1">
      <c r="A32" s="18" t="n"/>
      <c r="B32" s="66">
        <f>IF(A32&lt;&gt;"",_xlfn.XLOOKUP(A32,Colors[Colors],Colors[Description],"",0),"")</f>
        <v/>
      </c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3" t="n"/>
    </row>
    <row r="33" ht="40.25" customHeight="1">
      <c r="A33" s="18" t="n"/>
      <c r="B33" s="66">
        <f>IF(A33&lt;&gt;"",_xlfn.XLOOKUP(A33,Colors[Colors],Colors[Description],"",0),"")</f>
        <v/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3" t="n"/>
    </row>
    <row r="34" ht="40.25" customHeight="1">
      <c r="A34" s="18" t="n"/>
      <c r="B34" s="66">
        <f>IF(A34&lt;&gt;"",_xlfn.XLOOKUP(A34,Colors[Colors],Colors[Description],"",0),"")</f>
        <v/>
      </c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3" t="n"/>
    </row>
    <row r="35" ht="40.25" customHeight="1">
      <c r="A35" s="18" t="n"/>
      <c r="B35" s="66">
        <f>IF(A35&lt;&gt;"",_xlfn.XLOOKUP(A35,Colors[Colors],Colors[Description],"",0),"")</f>
        <v/>
      </c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3" t="n"/>
    </row>
    <row r="36" ht="40.25" customHeight="1" thickBot="1">
      <c r="A36" s="19" t="n"/>
      <c r="B36" s="68">
        <f>IF(A36&lt;&gt;"",_xlfn.XLOOKUP(A36,Colors[Colors],Colors[Description],"",0),"")</f>
        <v/>
      </c>
      <c r="C36" s="94" t="n"/>
      <c r="D36" s="94" t="n"/>
      <c r="E36" s="94" t="n"/>
      <c r="F36" s="94" t="n"/>
      <c r="G36" s="94" t="n"/>
      <c r="H36" s="94" t="n"/>
      <c r="I36" s="94" t="n"/>
      <c r="J36" s="94" t="n"/>
      <c r="K36" s="94" t="n"/>
      <c r="L36" s="94" t="n"/>
      <c r="M36" s="95" t="n"/>
    </row>
    <row r="37" ht="40.25" customHeight="1" thickBot="1" thickTop="1">
      <c r="A37" s="80" t="inlineStr">
        <is>
          <t>Additional Notes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2" t="n"/>
    </row>
    <row r="38" ht="40.25" customHeight="1" thickTop="1">
      <c r="A38" s="96" t="inlineStr">
        <is>
          <t xml:space="preserve">Rather have 4/4  9''&amp;wider center cut than ties-----4/4 Char under 6'' that doesn’t make 2com put in SG load </t>
        </is>
      </c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8" t="n"/>
    </row>
    <row r="39" ht="40.25" customHeight="1">
      <c r="A39" s="99" t="inlineStr">
        <is>
          <t>6/4 Sap Spec-- converging sap ok just don’t want more than 60% of face to be sap ------TARGET RUSTIC IN THE 6/4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1" t="n"/>
    </row>
    <row r="40" ht="40.25" customHeight="1">
      <c r="A40" s="99" t="inlineStr">
        <is>
          <t xml:space="preserve">8/4 Sap Spec --no more than 3/4'' of sap down each edge  </t>
        </is>
      </c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1" t="n"/>
    </row>
    <row r="41" ht="40.25" customHeight="1" thickBot="1">
      <c r="A41" s="99" t="inlineStr">
        <is>
          <t xml:space="preserve">can be aggressive on the 6/4 &amp; 8/4--- ok to make 6/4 &amp; 8/4 1&amp;2com </t>
        </is>
      </c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1" t="n"/>
    </row>
    <row r="42" ht="40.25" customHeight="1" thickBot="1" thickTop="1">
      <c r="A42" s="80" t="inlineStr">
        <is>
          <t>Cants</t>
        </is>
      </c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2" t="n"/>
    </row>
    <row r="43" ht="40.2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63" t="inlineStr">
        <is>
          <t>Special Instruction/Comments</t>
        </is>
      </c>
      <c r="G43" s="81" t="n"/>
      <c r="H43" s="81" t="n"/>
      <c r="I43" s="81" t="n"/>
      <c r="J43" s="81" t="n"/>
      <c r="K43" s="81" t="n"/>
      <c r="L43" s="81" t="n"/>
      <c r="M43" s="82" t="n"/>
    </row>
    <row r="44" ht="40.2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500</v>
      </c>
      <c r="F44" s="102" t="n"/>
      <c r="G44" s="97" t="n"/>
      <c r="H44" s="97" t="n"/>
      <c r="I44" s="97" t="n"/>
      <c r="J44" s="97" t="n"/>
      <c r="K44" s="97" t="n"/>
      <c r="L44" s="97" t="n"/>
      <c r="M44" s="98" t="n"/>
    </row>
    <row r="45" ht="40.25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500</v>
      </c>
      <c r="F45" s="103" t="n"/>
      <c r="G45" s="100" t="n"/>
      <c r="H45" s="100" t="n"/>
      <c r="I45" s="100" t="n"/>
      <c r="J45" s="100" t="n"/>
      <c r="K45" s="100" t="n"/>
      <c r="L45" s="100" t="n"/>
      <c r="M45" s="101" t="n"/>
    </row>
    <row r="46" ht="40.25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450</v>
      </c>
      <c r="F46" s="103" t="n"/>
      <c r="G46" s="100" t="n"/>
      <c r="H46" s="100" t="n"/>
      <c r="I46" s="100" t="n"/>
      <c r="J46" s="100" t="n"/>
      <c r="K46" s="100" t="n"/>
      <c r="L46" s="100" t="n"/>
      <c r="M46" s="101" t="n"/>
    </row>
    <row r="47" ht="40.25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6"</t>
        </is>
      </c>
      <c r="E47" s="34" t="n">
        <v>450</v>
      </c>
      <c r="F47" s="103" t="n"/>
      <c r="G47" s="100" t="n"/>
      <c r="H47" s="100" t="n"/>
      <c r="I47" s="100" t="n"/>
      <c r="J47" s="100" t="n"/>
      <c r="K47" s="100" t="n"/>
      <c r="L47" s="100" t="n"/>
      <c r="M47" s="101" t="n"/>
    </row>
    <row r="48" ht="40.2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425</v>
      </c>
      <c r="F48" s="103" t="n"/>
      <c r="G48" s="100" t="n"/>
      <c r="H48" s="100" t="n"/>
      <c r="I48" s="100" t="n"/>
      <c r="J48" s="100" t="n"/>
      <c r="K48" s="100" t="n"/>
      <c r="L48" s="100" t="n"/>
      <c r="M48" s="101" t="n"/>
    </row>
    <row r="49" ht="40.2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425</v>
      </c>
      <c r="F49" s="103" t="n"/>
      <c r="G49" s="100" t="n"/>
      <c r="H49" s="100" t="n"/>
      <c r="I49" s="100" t="n"/>
      <c r="J49" s="100" t="n"/>
      <c r="K49" s="100" t="n"/>
      <c r="L49" s="100" t="n"/>
      <c r="M49" s="101" t="n"/>
    </row>
    <row r="50" ht="40.2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400</v>
      </c>
      <c r="F50" s="103" t="n"/>
      <c r="G50" s="100" t="n"/>
      <c r="H50" s="100" t="n"/>
      <c r="I50" s="100" t="n"/>
      <c r="J50" s="100" t="n"/>
      <c r="K50" s="100" t="n"/>
      <c r="L50" s="100" t="n"/>
      <c r="M50" s="101" t="n"/>
    </row>
    <row r="51" ht="40.2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350</v>
      </c>
      <c r="F51" s="103" t="inlineStr">
        <is>
          <t>Rather not make any of these</t>
        </is>
      </c>
      <c r="G51" s="100" t="n"/>
      <c r="H51" s="100" t="n"/>
      <c r="I51" s="100" t="n"/>
      <c r="J51" s="100" t="n"/>
      <c r="K51" s="100" t="n"/>
      <c r="L51" s="100" t="n"/>
      <c r="M51" s="101" t="n"/>
    </row>
    <row r="52" ht="40.25" customHeight="1" thickBot="1">
      <c r="A52" s="45" t="n"/>
      <c r="B52" s="37" t="n"/>
      <c r="C52" s="37" t="n"/>
      <c r="D52" s="37" t="n"/>
      <c r="E52" s="38" t="n"/>
      <c r="F52" s="104" t="n"/>
      <c r="G52" s="105" t="n"/>
      <c r="H52" s="105" t="n"/>
      <c r="I52" s="105" t="n"/>
      <c r="J52" s="105" t="n"/>
      <c r="K52" s="105" t="n"/>
      <c r="L52" s="105" t="n"/>
      <c r="M52" s="106" t="n"/>
    </row>
    <row r="53" ht="40.25" customHeight="1" thickBot="1" thickTop="1">
      <c r="A53" s="80" t="inlineStr">
        <is>
          <t>Ties</t>
        </is>
      </c>
      <c r="B53" s="81" t="n"/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2" t="n"/>
    </row>
    <row r="54" ht="40.2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63" t="inlineStr">
        <is>
          <t>Special Instruction/Comments</t>
        </is>
      </c>
      <c r="G54" s="81" t="n"/>
      <c r="H54" s="81" t="n"/>
      <c r="I54" s="81" t="n"/>
      <c r="J54" s="81" t="n"/>
      <c r="K54" s="81" t="n"/>
      <c r="L54" s="81" t="n"/>
      <c r="M54" s="82" t="n"/>
    </row>
    <row r="55" ht="40.25" customHeight="1" thickTop="1">
      <c r="A55" s="41" t="n"/>
      <c r="B55" s="42" t="n"/>
      <c r="C55" s="42" t="n"/>
      <c r="D55" s="42" t="n"/>
      <c r="E55" s="43" t="n"/>
      <c r="F55" s="102" t="n"/>
      <c r="G55" s="97" t="n"/>
      <c r="H55" s="97" t="n"/>
      <c r="I55" s="97" t="n"/>
      <c r="J55" s="97" t="n"/>
      <c r="K55" s="97" t="n"/>
      <c r="L55" s="97" t="n"/>
      <c r="M55" s="98" t="n"/>
    </row>
    <row r="56" ht="40.25" customHeight="1">
      <c r="A56" s="44" t="n"/>
      <c r="B56" s="30" t="n"/>
      <c r="C56" s="30" t="n"/>
      <c r="D56" s="30" t="n"/>
      <c r="E56" s="34" t="n"/>
      <c r="F56" s="103" t="n"/>
      <c r="G56" s="100" t="n"/>
      <c r="H56" s="100" t="n"/>
      <c r="I56" s="100" t="n"/>
      <c r="J56" s="100" t="n"/>
      <c r="K56" s="100" t="n"/>
      <c r="L56" s="100" t="n"/>
      <c r="M56" s="101" t="n"/>
    </row>
    <row r="57" ht="40.25" customHeight="1" thickBot="1">
      <c r="A57" s="44" t="n"/>
      <c r="B57" s="30" t="n"/>
      <c r="C57" s="30" t="n"/>
      <c r="D57" s="30" t="n"/>
      <c r="E57" s="34" t="n"/>
      <c r="F57" s="104" t="n"/>
      <c r="G57" s="105" t="n"/>
      <c r="H57" s="105" t="n"/>
      <c r="I57" s="105" t="n"/>
      <c r="J57" s="105" t="n"/>
      <c r="K57" s="105" t="n"/>
      <c r="L57" s="105" t="n"/>
      <c r="M57" s="106" t="n"/>
    </row>
    <row r="58" ht="40.25" customHeight="1" thickBot="1" thickTop="1">
      <c r="A58" s="80" t="inlineStr">
        <is>
          <t>Pallet</t>
        </is>
      </c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  <c r="M58" s="82" t="n"/>
    </row>
    <row r="59" ht="40.2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63" t="inlineStr">
        <is>
          <t>Special Instruction/Comments</t>
        </is>
      </c>
      <c r="G59" s="81" t="n"/>
      <c r="H59" s="81" t="n"/>
      <c r="I59" s="81" t="n"/>
      <c r="J59" s="81" t="n"/>
      <c r="K59" s="81" t="n"/>
      <c r="L59" s="81" t="n"/>
      <c r="M59" s="82" t="n"/>
    </row>
    <row r="60" ht="40.2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2" t="n"/>
      <c r="G60" s="97" t="n"/>
      <c r="H60" s="97" t="n"/>
      <c r="I60" s="97" t="n"/>
      <c r="J60" s="97" t="n"/>
      <c r="K60" s="97" t="n"/>
      <c r="L60" s="97" t="n"/>
      <c r="M60" s="98" t="n"/>
    </row>
    <row r="61" ht="40.25" customHeight="1" thickBot="1">
      <c r="A61" s="45" t="n"/>
      <c r="B61" s="37" t="n"/>
      <c r="C61" s="37" t="n"/>
      <c r="D61" s="37" t="n"/>
      <c r="E61" s="38" t="n"/>
      <c r="F61" s="104" t="n"/>
      <c r="G61" s="105" t="n"/>
      <c r="H61" s="105" t="n"/>
      <c r="I61" s="105" t="n"/>
      <c r="J61" s="105" t="n"/>
      <c r="K61" s="105" t="n"/>
      <c r="L61" s="105" t="n"/>
      <c r="M61" s="106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F51:M51"/>
    <mergeCell ref="A40:M40"/>
    <mergeCell ref="E1:I1"/>
    <mergeCell ref="A39:M39"/>
    <mergeCell ref="F45:M45"/>
    <mergeCell ref="B30:M30"/>
    <mergeCell ref="B1:C1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61:M61"/>
    <mergeCell ref="F56:M56"/>
    <mergeCell ref="F43:M43"/>
    <mergeCell ref="G4:H4"/>
    <mergeCell ref="F52:M52"/>
    <mergeCell ref="F48:M48"/>
    <mergeCell ref="A37:M37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2026-07-06T19:22:05Z</dcterms:modified>
  <cp:lastModifiedBy>Bennett Hanke</cp:lastModifiedBy>
  <cp:lastPrinted>2025-12-01T18:46:10Z</cp:lastPrinted>
</cp:coreProperties>
</file>