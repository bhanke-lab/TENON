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tul_2026-05-07\"/>
    </mc:Choice>
  </mc:AlternateContent>
  <xr:revisionPtr revIDLastSave="0" documentId="8_{6F22547C-5721-4788-8146-B140AE3C4438}" xr6:coauthVersionLast="47" xr6:coauthVersionMax="47" xr10:uidLastSave="{00000000-0000-0000-0000-000000000000}"/>
  <bookViews>
    <workbookView xWindow="-28920" yWindow="-120" windowWidth="29040" windowHeight="1572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<sst xmlns="http://schemas.openxmlformats.org/spreadsheetml/2006/main" count="260" uniqueCount="180">
  <si>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</si>
  <si>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</si>
  <si>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</si>
  <si>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</si>
  <si>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</si>
  <si>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</si>
  <si>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</si>
  <si>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</si>
  <si>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</si>
  <si>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</si>
  <si>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</si>
  <si>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</si>
  <si>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</si>
  <si>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</si>
  <si>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</si>
  <si>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</si>
  <si>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</si>
  <si>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</si>
  <si>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</si>
  <si>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</si>
  <si>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</si>
  <si>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</si>
  <si>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</si>
  <si>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</si>
  <si>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</si>
  <si>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</si>
  <si>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</si>
  <si>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</si>
  <si>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</si>
  <si>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</si>
  <si>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</si>
  <si>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</si>
  <si>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</si>
  <si>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</si>
  <si>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</si>
  <si>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</si>
  <si>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</si>
  <si>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</si>
  <si>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</si>
  <si>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</si>
  <si>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</si>
  <si>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</si>
  <si>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</si>
  <si>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</si>
  <si>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</si>
  <si>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</si>
  <si>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</si>
  <si>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</si>
  <si>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</si>
  <si>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</si>
  <si>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</si>
  <si>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</si>
  <si>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</si>
  <si>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</si>
  <si>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</si>
  <si>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</si>
  <si>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</si>
  <si>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</si>
  <si>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</si>
  <si>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</si>
  <si>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</si>
  <si>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</si>
  <si>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</si>
  <si>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</si>
  <si>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</si>
  <si>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</si>
  <si>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</si>
  <si>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</si>
  <si>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</si>
  <si>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</si>
  <si>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</si>
  <si>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</si>
  <si>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</si>
  <si>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</si>
  <si>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</si>
  <si>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</si>
  <si>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</si>
  <si>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</si>
  <si>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</si>
  <si>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</si>
  <si>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</si>
  <si>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</si>
  <si>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</si>
  <si>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</si>
  <si>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</si>
  <si>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</si>
  <si>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</si>
  <si>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</si>
  <si>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</si>
  <si>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</si>
  <si>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</si>
  <si>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</si>
  <si>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</si>
  <si>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</si>
  <si>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</si>
  <si>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</si>
  <si>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</si>
  <si>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</si>
  <si>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</si>
  <si>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</si>
  <si>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</si>
  <si>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</si>
  <si>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</si>
  <si>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</si>
  <si>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</si>
  <si>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</si>
  <si>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</si>
  <si>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</si>
  <si>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</si>
  <si>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</si>
  <si>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</si>
  <si>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</si>
  <si>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</si>
  <si>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</si>
  <si>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</si>
  <si>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</si>
  <si>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</si>
  <si>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</si>
  <si>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</si>
  <si>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</si>
  <si>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</si>
  <si>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</si>
  <si>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</si>
  <si>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</si>
  <si>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</si>
  <si>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</si>
  <si>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</si>
  <si>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</si>
  <si>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</si>
  <si>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</si>
  <si>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</si>
  <si>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</si>
  <si>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</si>
  <si>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</si>
  <si>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</si>
  <si>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</si>
  <si>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</si>
  <si>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</si>
  <si>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</si>
  <si>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</si>
  <si>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</si>
  <si>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</si>
  <si>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</si>
  <si>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</si>
  <si>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</si>
  <si>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</si>
  <si>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</si>
  <si>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</si>
  <si>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</si>
  <si>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</si>
  <si>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</si>
  <si>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</si>
  <si>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</si>
  <si>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</si>
  <si>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</si>
  <si>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</si>
  <si>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</si>
  <si>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</si>
  <si>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</si>
  <si>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</si>
  <si>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</si>
  <si>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</si>
  <si>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</si>
  <si>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</si>
  <si>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</si>
  <si>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</si>
  <si>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</si>
  <si>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</si>
  <si>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</si>
  <si>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</si>
  <si>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</si>
  <si>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</si>
  <si>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</si>
  <si>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</si>
  <si>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</si>
  <si>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Cayuta</t>
  </si>
  <si>
    <t xml:space="preserve">will allow a few 7' cutbacks </t>
  </si>
  <si>
    <t xml:space="preserve">saw 8/4 for uppers only  </t>
  </si>
  <si>
    <t>allowing a few developing whoops 1com</t>
  </si>
  <si>
    <t>100??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</si>
</sst>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B2" sqref="B2:C2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47">
        <v>46149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4">
      <c r="A2" s="4" t="s">
        <v>114</v>
      </c>
      <c r="B2" s="49" t="s">
        <v>179</v>
      </c>
      <c r="C2" s="48"/>
      <c r="E2" s="61" t="s">
        <v>127</v>
      </c>
      <c r="F2" s="62"/>
      <c r="G2" s="62"/>
      <c r="H2" s="62"/>
      <c r="I2" s="63"/>
    </row>
    <row r="3" spans="1:13" ht="22.5" thickTop="1" thickBot="1" x14ac:dyDescent="0.4"/>
    <row r="4" spans="1:13" ht="21.75" thickBot="1" x14ac:dyDescent="0.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75" thickBot="1" x14ac:dyDescent="0.4">
      <c r="A5" s="7" t="s">
        <v>1</v>
      </c>
      <c r="B5" s="20">
        <v>0.86</v>
      </c>
      <c r="D5" s="7" t="s">
        <v>137</v>
      </c>
      <c r="E5" s="20">
        <v>0.6</v>
      </c>
      <c r="G5" s="8" t="str" cm="1">
        <f t="array" ref="G5:G6">IFERROR(_xlfn.UNIQUE(_xlfn._xlws.FILTER(B13:B28,B13:B28&lt;&gt;"")),"")</f>
        <v>4/4</v>
      </c>
      <c r="H5" s="21">
        <v>0.8</v>
      </c>
    </row>
    <row r="6" spans="1:13" ht="21.75" thickBot="1" x14ac:dyDescent="0.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8/4</v>
      </c>
      <c r="H6" s="21">
        <v>0.2</v>
      </c>
    </row>
    <row r="7" spans="1:13" ht="21.75" thickBot="1" x14ac:dyDescent="0.4">
      <c r="A7" s="7" t="s">
        <v>9</v>
      </c>
      <c r="B7" s="20"/>
      <c r="D7" s="7" t="s">
        <v>139</v>
      </c>
      <c r="E7" s="20">
        <v>0.1</v>
      </c>
      <c r="F7" s="9"/>
      <c r="G7" s="8"/>
      <c r="H7" s="21"/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1005</v>
      </c>
      <c r="L13" s="26"/>
      <c r="M13" s="27">
        <v>0.8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555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380</v>
      </c>
      <c r="L15" s="32"/>
      <c r="M15" s="33"/>
    </row>
    <row r="16" spans="1:13" ht="40.15" customHeight="1" x14ac:dyDescent="0.3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15" customHeight="1" x14ac:dyDescent="0.35">
      <c r="A17" s="28" t="s">
        <v>175</v>
      </c>
      <c r="B17" s="29" t="s">
        <v>14</v>
      </c>
      <c r="C17" s="30">
        <v>3</v>
      </c>
      <c r="D17" s="30" t="s">
        <v>174</v>
      </c>
      <c r="E17" s="30" t="s">
        <v>29</v>
      </c>
      <c r="F17" s="30" t="s">
        <v>40</v>
      </c>
      <c r="G17" s="30" t="s">
        <v>50</v>
      </c>
      <c r="H17" s="30" t="s">
        <v>70</v>
      </c>
      <c r="I17" s="30" t="s">
        <v>83</v>
      </c>
      <c r="J17" s="30" t="s">
        <v>87</v>
      </c>
      <c r="K17" s="34">
        <v>1080</v>
      </c>
      <c r="L17" s="32" t="s">
        <v>176</v>
      </c>
      <c r="M17" s="33">
        <v>0.2</v>
      </c>
    </row>
    <row r="18" spans="1:13" ht="40.15" customHeight="1" x14ac:dyDescent="0.35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69</v>
      </c>
      <c r="I18" s="30" t="s">
        <v>82</v>
      </c>
      <c r="J18" s="30" t="s">
        <v>87</v>
      </c>
      <c r="K18" s="31">
        <v>555</v>
      </c>
      <c r="L18" s="32" t="s">
        <v>177</v>
      </c>
      <c r="M18" s="33"/>
    </row>
    <row r="19" spans="1:13" ht="40.15" customHeight="1" x14ac:dyDescent="0.3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 t="s">
        <v>178</v>
      </c>
      <c r="M19" s="33"/>
    </row>
    <row r="20" spans="1:13" ht="40.15" customHeight="1" x14ac:dyDescent="0.3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15" customHeight="1" thickTop="1" thickBot="1" x14ac:dyDescent="0.3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15" customHeight="1" thickTop="1" x14ac:dyDescent="0.3">
      <c r="A31" s="17" t="str" cm="1">
        <f t="array" ref="A31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15" customHeight="1" x14ac:dyDescent="0.3">
      <c r="A32" s="18"/>
      <c r="B32" s="67" t="str">
        <f>IF(A32&lt;&gt;"",_xlfn.XLOOKUP(A32,Colors[Colors],Colors[Description],"",0),"")</f>
        <v/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15" customHeight="1" x14ac:dyDescent="0.3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15" customHeight="1" x14ac:dyDescent="0.3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15" customHeight="1" x14ac:dyDescent="0.3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15" customHeight="1" thickBot="1" x14ac:dyDescent="0.3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15" customHeight="1" thickTop="1" thickBot="1" x14ac:dyDescent="0.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15" customHeight="1" thickTop="1" x14ac:dyDescent="0.3">
      <c r="A38" s="74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15" customHeight="1" x14ac:dyDescent="0.3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15" customHeight="1" x14ac:dyDescent="0.3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15" customHeight="1" thickBot="1" x14ac:dyDescent="0.3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15" customHeight="1" thickTop="1" thickBot="1" x14ac:dyDescent="0.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15" customHeight="1" x14ac:dyDescent="0.3">
      <c r="A47" s="44"/>
      <c r="B47" s="30" t="s">
        <v>133</v>
      </c>
      <c r="C47" s="30">
        <v>3</v>
      </c>
      <c r="D47" s="30" t="s">
        <v>96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15" customHeight="1" thickBot="1" x14ac:dyDescent="0.3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15" customHeight="1" thickTop="1" thickBot="1" x14ac:dyDescent="0.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15" customHeight="1" thickTop="1" x14ac:dyDescent="0.3">
      <c r="A55" s="41"/>
      <c r="B55" s="42"/>
      <c r="C55" s="42"/>
      <c r="D55" s="42"/>
      <c r="E55" s="43"/>
      <c r="F55" s="56"/>
      <c r="G55" s="57"/>
      <c r="H55" s="57"/>
      <c r="I55" s="57"/>
      <c r="J55" s="57"/>
      <c r="K55" s="57"/>
      <c r="L55" s="57"/>
      <c r="M55" s="58"/>
    </row>
    <row r="56" spans="1:13" ht="40.15" customHeight="1" x14ac:dyDescent="0.3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.15" customHeight="1" thickBot="1" x14ac:dyDescent="0.35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.15" customHeight="1" thickTop="1" thickBot="1" x14ac:dyDescent="0.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.15" customHeight="1" thickBot="1" x14ac:dyDescent="0.3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2026-05-07T16:53:54Z</dcterms:modified>
</cp:coreProperties>
</file>